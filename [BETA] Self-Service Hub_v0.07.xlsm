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240" windowWidth="19395" windowHeight="7485" firstSheet="2" activeTab="2"/>
  </bookViews>
  <sheets>
    <sheet name="Version" sheetId="2" r:id="rId1"/>
    <sheet name="ReadMe" sheetId="5" r:id="rId2"/>
    <sheet name="EmployeeHub" sheetId="1" r:id="rId3"/>
    <sheet name="Report" sheetId="6" r:id="rId4"/>
    <sheet name="Resource" sheetId="4" state="hidden" r:id="rId5"/>
  </sheets>
  <functionGroups builtInGroupCount="17"/>
  <externalReferences>
    <externalReference r:id="rId6"/>
  </externalReferences>
  <definedNames>
    <definedName name="_xlnm._FilterDatabase" localSheetId="3" hidden="1">Report!$B$7:$K$21</definedName>
    <definedName name="MyID">#REF!</definedName>
    <definedName name="MyResource" localSheetId="1">OFFSET([1]Resource!$A$2,,,COUNTA([1]Resource!$A$2:$B$134),2)</definedName>
    <definedName name="MyResource" localSheetId="3">OFFSET(Resource!$B$2,,,COUNTA(Resource!$B$2:$B$104),2)</definedName>
    <definedName name="MyResource">OFFSET(Resource!$B$2,,,COUNTA(Resource!$B$2:$B$104),2)</definedName>
    <definedName name="Resource">Resource!$B$2:$B$104</definedName>
  </definedNames>
  <calcPr calcId="145621" calcMode="manual"/>
</workbook>
</file>

<file path=xl/calcChain.xml><?xml version="1.0" encoding="utf-8"?>
<calcChain xmlns="http://schemas.openxmlformats.org/spreadsheetml/2006/main">
  <c r="C5" i="6" l="1"/>
  <c r="A3" i="4" l="1"/>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F4" i="6" l="1"/>
  <c r="N8" i="6" l="1"/>
  <c r="N19" i="6" s="1"/>
  <c r="N11" i="6" l="1"/>
  <c r="N15" i="6"/>
  <c r="N20" i="6"/>
  <c r="N16" i="6"/>
  <c r="N12" i="6"/>
  <c r="N9" i="6"/>
  <c r="N13" i="6"/>
  <c r="N18" i="6"/>
  <c r="N10" i="6"/>
  <c r="N14" i="6"/>
  <c r="N17" i="6" l="1"/>
  <c r="N5" i="6"/>
  <c r="N4" i="6"/>
  <c r="M4" i="6"/>
  <c r="O3" i="6"/>
  <c r="N3" i="6"/>
  <c r="M3" i="6"/>
  <c r="O2" i="6"/>
  <c r="N2" i="6"/>
  <c r="M2" i="6"/>
  <c r="F5" i="6" l="1"/>
  <c r="A2" i="4" l="1"/>
</calcChain>
</file>

<file path=xl/sharedStrings.xml><?xml version="1.0" encoding="utf-8"?>
<sst xmlns="http://schemas.openxmlformats.org/spreadsheetml/2006/main" count="1186" uniqueCount="390">
  <si>
    <t>Version Control</t>
  </si>
  <si>
    <t xml:space="preserve">Version No. </t>
  </si>
  <si>
    <t>Content Update</t>
  </si>
  <si>
    <t>Approved By</t>
  </si>
  <si>
    <t>-</t>
  </si>
  <si>
    <t>Remarks</t>
    <phoneticPr fontId="2"/>
  </si>
  <si>
    <t>(Last Name, First Name)</t>
  </si>
  <si>
    <t>Navarro, James Mervin V.</t>
  </si>
  <si>
    <t>Magdadaro, Ma. Lourdes P.</t>
  </si>
  <si>
    <t>Camaso, Arjay F.</t>
  </si>
  <si>
    <t>Cledera, Ana Jeni Kay O.</t>
  </si>
  <si>
    <t>Siason, Rolf John S.</t>
  </si>
  <si>
    <t>Barraba, Cristopher G.</t>
  </si>
  <si>
    <t>Lee, Timothy John M.</t>
  </si>
  <si>
    <t>Clemente, Adora Q.</t>
  </si>
  <si>
    <t>Mortera, Michaela A.</t>
  </si>
  <si>
    <t>Aurellano, Sonny S.</t>
  </si>
  <si>
    <t>Halamani, Maria Leonora C.</t>
  </si>
  <si>
    <t>Gonzales, Kristopher Ryan T.</t>
  </si>
  <si>
    <t>Cordial, Conie Marian S.</t>
  </si>
  <si>
    <t>Maclang, Marjorie R.</t>
  </si>
  <si>
    <t>Castañeda, Djenna Coleen S.</t>
  </si>
  <si>
    <t>Umipig, Ralfh Kenneth A.</t>
  </si>
  <si>
    <t>Guanzon, Margilyn S.</t>
  </si>
  <si>
    <t>Sy, Mark Niel P.</t>
  </si>
  <si>
    <t>Plaza, Mary Chrystille C.</t>
  </si>
  <si>
    <t>Tangtatco, Patrick M.</t>
  </si>
  <si>
    <t>Buergo, Michelle C.</t>
  </si>
  <si>
    <t>Bautista, Joan O.</t>
  </si>
  <si>
    <t>Dimaculangan, Romar N.</t>
  </si>
  <si>
    <t>Dela Cruz, Aron R.</t>
  </si>
  <si>
    <t>De Leon, Richard Alfred M.</t>
  </si>
  <si>
    <t>Lingat, Alvin T.</t>
  </si>
  <si>
    <t>De Juan, Mariel Danica B.</t>
  </si>
  <si>
    <t>Salinas, Alvin Jan G.</t>
  </si>
  <si>
    <t>Sarmiento, Annalyn R.</t>
  </si>
  <si>
    <t>Soleybar, Almond N.</t>
  </si>
  <si>
    <t>Balaguer, Beryl Joy P.</t>
  </si>
  <si>
    <t>Bulatao, Ma. Diane O.</t>
  </si>
  <si>
    <t>Gonzales, Daxz Jude F.</t>
  </si>
  <si>
    <t>Barrantes, Edward C.</t>
  </si>
  <si>
    <t>De Villa, Germaine T.</t>
  </si>
  <si>
    <t>Gabriel, Genevieve Jilleane J.</t>
  </si>
  <si>
    <t>Dicon, Hannah Camelle M.</t>
  </si>
  <si>
    <t>Laurel, Herschell A.</t>
  </si>
  <si>
    <t>Naco, Ian Christopher C.</t>
  </si>
  <si>
    <t>Battung, Jaan Amaley B.</t>
  </si>
  <si>
    <t>Caceres, Jasmine A.</t>
  </si>
  <si>
    <t>Lopez, Jose Christian E.</t>
  </si>
  <si>
    <t>Hanopol, Jose Mari B.</t>
  </si>
  <si>
    <t>Musni, Jane Madelane A.</t>
  </si>
  <si>
    <t>Yumul, John Michael S.</t>
  </si>
  <si>
    <t>Gallarte, Jian Paul D.</t>
  </si>
  <si>
    <t>Villasin, Jefferro F.</t>
  </si>
  <si>
    <t>Zafra, Jazmine M.</t>
  </si>
  <si>
    <t>Bermas, Kim M.</t>
  </si>
  <si>
    <t>Laureano, Kristine Mae T.</t>
  </si>
  <si>
    <t>Arbis, Lysander B.</t>
  </si>
  <si>
    <t>Vergara, Leonard L.</t>
  </si>
  <si>
    <t>Albos, Maria Mahonri A.</t>
  </si>
  <si>
    <t>Bojo, Michelle P.</t>
  </si>
  <si>
    <t>Gabrang, Michael O.</t>
  </si>
  <si>
    <t>Basiya, Michal Gabriel P.</t>
  </si>
  <si>
    <t>Abalos, Mark Jason D.</t>
  </si>
  <si>
    <t>Flores, Mary John M.</t>
  </si>
  <si>
    <t>Maca, Maribeth R.</t>
  </si>
  <si>
    <t>Buenaseda, Martin Nikko L.</t>
  </si>
  <si>
    <t>Dela Cruz, Nikole S.</t>
  </si>
  <si>
    <t>Beleno, Orah Vita L.</t>
  </si>
  <si>
    <t>Guinto, Peter John F.</t>
  </si>
  <si>
    <t>Dingding, Rujie Ann L.</t>
  </si>
  <si>
    <t>Decolongon, Roden M.</t>
  </si>
  <si>
    <t>Francisco Jr., Rolando G.</t>
  </si>
  <si>
    <t>Buenaventura, Sidney</t>
  </si>
  <si>
    <t>Duria, Sarah Mae O.</t>
  </si>
  <si>
    <t>Domingo, Ted Josiah S.</t>
  </si>
  <si>
    <t>Abiera Jr., William M.</t>
  </si>
  <si>
    <t>Magdaong, Windel C.</t>
  </si>
  <si>
    <t>Hernandez, Ciaron John B.</t>
  </si>
  <si>
    <t>Yap, Bernard F.</t>
  </si>
  <si>
    <t>San Pedro Jr., Irwin M.</t>
  </si>
  <si>
    <t>Pascual, Ragee Joy C.</t>
  </si>
  <si>
    <t>Initial Document
Conceptualize Automation Process
Implements Automation Design</t>
  </si>
  <si>
    <t>2016/10/24
Paul Ryan A. Dedumo</t>
  </si>
  <si>
    <t>Change the UI Design</t>
  </si>
  <si>
    <t>2016/11/17
Paul Genesis Bermudez</t>
  </si>
  <si>
    <t>Error:
DTPicker not compatible
Fix:
Deleted the DTPicker function in the tool and replaced it with text box to input manually the date</t>
  </si>
  <si>
    <t>2016/11/24
Paul Ryan A. Dedumo</t>
  </si>
  <si>
    <t>Error:
DB opens accidentally
Fix:
Change the codes acquisition of data validation</t>
  </si>
  <si>
    <t>2016/12/08
Paul Ryan A. Dedumo</t>
  </si>
  <si>
    <t>Change the UI Design v2.0</t>
  </si>
  <si>
    <t>Update:
Change the logic flow of the tool to speed up the process</t>
  </si>
  <si>
    <t>2016/12/22
Paul Ryan A. Dedumo</t>
  </si>
  <si>
    <t>Update:
- Added additional rows to the Report Tab
- Bug fixes</t>
    <phoneticPr fontId="2"/>
  </si>
  <si>
    <t>2016/12/20
Paul Genesis Bermudez</t>
    <phoneticPr fontId="2"/>
  </si>
  <si>
    <t>2017/1/04
Paul Genesis Bermudez
Paul Ryan A. Dedumo</t>
    <phoneticPr fontId="2"/>
  </si>
  <si>
    <t>Project Chassis myTimeKeeper Tool</t>
    <phoneticPr fontId="2"/>
  </si>
  <si>
    <t>Information</t>
    <phoneticPr fontId="2"/>
  </si>
  <si>
    <t>Security Notice: The tool and the information contained within is CONFIDENTIAL and unauthorized disclosure and/or tampering is prohibited. Failure to observe Accenture policy regarding proprietary information can result in disciplinary action, including dismissal, and can subject you and/or third parties to legal liability.</t>
    <phoneticPr fontId="2"/>
  </si>
  <si>
    <t>Table of Contents</t>
    <phoneticPr fontId="2"/>
  </si>
  <si>
    <t>This worksheet shows the version history of the tools, the modification and the person in-charge on the update.</t>
    <phoneticPr fontId="2"/>
  </si>
  <si>
    <t>This worksheet shows the step-by-step process on how to use the tool.</t>
    <phoneticPr fontId="2"/>
  </si>
  <si>
    <t>This worksheet shows the quarterly Log-in details of the resource</t>
    <phoneticPr fontId="2"/>
  </si>
  <si>
    <t>This is a hidden worksheet which SHOULDN'T be altered by an unathorized resource.</t>
    <phoneticPr fontId="2"/>
  </si>
  <si>
    <t>Purpose</t>
    <phoneticPr fontId="2"/>
  </si>
  <si>
    <r>
      <t xml:space="preserve">myTimeKeeper is an automated tool which captures the resource's Time-In and Time-out information, in real-time. In case the resource needs to time-out early, all he/she needs is to choose the correct type of leave, its approver and the remaining hours needed to complete the 9hours production time. It also generates report which the resource can look into to check his/her daily logged in. 
</t>
    </r>
    <r>
      <rPr>
        <b/>
        <sz val="8"/>
        <color theme="1"/>
        <rFont val="Arial"/>
        <family val="2"/>
      </rPr>
      <t xml:space="preserve">Important: </t>
    </r>
    <r>
      <rPr>
        <sz val="8"/>
        <color theme="1"/>
        <rFont val="Arial"/>
        <family val="2"/>
      </rPr>
      <t>This TimeKeeping System of the Project, is an initiative work of Mr. Paul Ryan A. Dedumo and Mr. Paul Genesis Bermudez.</t>
    </r>
    <phoneticPr fontId="2"/>
  </si>
  <si>
    <t>Instructions for Use</t>
    <phoneticPr fontId="2"/>
  </si>
  <si>
    <t>Step 1</t>
    <phoneticPr fontId="2"/>
  </si>
  <si>
    <t>Setting Up</t>
    <phoneticPr fontId="2"/>
  </si>
  <si>
    <t>a.</t>
    <phoneticPr fontId="2"/>
  </si>
  <si>
    <t>Get the latest copy of the tool on the path below and SAVE it on your local drive:</t>
    <phoneticPr fontId="2"/>
  </si>
  <si>
    <t>Step 2</t>
    <phoneticPr fontId="2"/>
  </si>
  <si>
    <t>Logging In</t>
    <phoneticPr fontId="2"/>
  </si>
  <si>
    <t>a.</t>
    <phoneticPr fontId="2"/>
  </si>
  <si>
    <t>Click the myTimeKeeper Logo</t>
    <phoneticPr fontId="2"/>
  </si>
  <si>
    <t>b.</t>
    <phoneticPr fontId="2"/>
  </si>
  <si>
    <t>LogIn form will pop-up, check the details on the box if it matches your Login ID, Current Date and Time</t>
    <phoneticPr fontId="2"/>
  </si>
  <si>
    <t>c.</t>
    <phoneticPr fontId="2"/>
  </si>
  <si>
    <t xml:space="preserve"> click "LOG IN"</t>
  </si>
  <si>
    <t>d.</t>
    <phoneticPr fontId="2"/>
  </si>
  <si>
    <t>Login Successful message will pop-up if your time-in is complete</t>
    <phoneticPr fontId="2"/>
  </si>
  <si>
    <t>e.</t>
    <phoneticPr fontId="2"/>
  </si>
  <si>
    <t>Check the report worksheet if it displays your Time-in info on that day</t>
    <phoneticPr fontId="2"/>
  </si>
  <si>
    <t>Step 3</t>
    <phoneticPr fontId="2"/>
  </si>
  <si>
    <t>Logging Out</t>
    <phoneticPr fontId="2"/>
  </si>
  <si>
    <t>a.</t>
    <phoneticPr fontId="2"/>
  </si>
  <si>
    <t>If you have already Time-in info, Logout form will pop-up</t>
    <phoneticPr fontId="2"/>
  </si>
  <si>
    <t>b.</t>
    <phoneticPr fontId="2"/>
  </si>
  <si>
    <t>It will show your Log Out details, tick and/or untick AM and PM break(s) if you haven't taken your breaks</t>
    <phoneticPr fontId="2"/>
  </si>
  <si>
    <t>Incase you will leave the office undertime, fill up the Information column your total production time must be &gt;= 9 hours</t>
    <phoneticPr fontId="2"/>
  </si>
  <si>
    <t>Click Log out when done</t>
    <phoneticPr fontId="2"/>
  </si>
  <si>
    <t>Logout Successful message will pop-up if your time-out is complete</t>
    <phoneticPr fontId="2"/>
  </si>
  <si>
    <t>f.</t>
    <phoneticPr fontId="2"/>
  </si>
  <si>
    <t>Check the report worksheet if it displays your Time-Out info on that day</t>
    <phoneticPr fontId="2"/>
  </si>
  <si>
    <t>Step 4</t>
    <phoneticPr fontId="2"/>
  </si>
  <si>
    <t>Scrub</t>
    <phoneticPr fontId="2"/>
  </si>
  <si>
    <t>Managers, Leads and PMOs are the only authorized persons who can scrub the Logged details</t>
    <phoneticPr fontId="2"/>
  </si>
  <si>
    <t>Click the Scrub icon to launch the Scrub Form</t>
    <phoneticPr fontId="2"/>
  </si>
  <si>
    <t>Scrub successful message will pop-up if scrubbing is success</t>
    <phoneticPr fontId="2"/>
  </si>
  <si>
    <t>Always save the changes when closing the workbook</t>
    <phoneticPr fontId="2"/>
  </si>
  <si>
    <t>Quarterly Resource Time Sheet</t>
    <phoneticPr fontId="2"/>
  </si>
  <si>
    <t>2017/1/07
Paul Ryan A. Dedumo</t>
    <phoneticPr fontId="2"/>
  </si>
  <si>
    <t>-</t>
    <phoneticPr fontId="2"/>
  </si>
  <si>
    <t>Update:
- Added minimize and maximize button
- Error: Logging out if no approver selected
- Status: fixed</t>
    <phoneticPr fontId="2"/>
  </si>
  <si>
    <t>Fix:
Bug in Scrub userform</t>
    <phoneticPr fontId="2"/>
  </si>
  <si>
    <t>2017/1/12
Paul Ryan A. Dedumo</t>
    <phoneticPr fontId="2"/>
  </si>
  <si>
    <t>Division</t>
    <phoneticPr fontId="2"/>
  </si>
  <si>
    <t>No.</t>
    <phoneticPr fontId="2"/>
  </si>
  <si>
    <t>ana.jeni.k.o.cledera</t>
  </si>
  <si>
    <t>mark.jason.d.abalos</t>
  </si>
  <si>
    <t>Gr2</t>
  </si>
  <si>
    <t>Drive</t>
  </si>
  <si>
    <t>PS2-2_ACN</t>
  </si>
  <si>
    <t>william.m.abiera.jr</t>
  </si>
  <si>
    <t>Gr1</t>
  </si>
  <si>
    <t>Jeff</t>
  </si>
  <si>
    <t>T-GAS</t>
  </si>
  <si>
    <t>Irwin</t>
  </si>
  <si>
    <t>AirBag</t>
  </si>
  <si>
    <t>maria.m.a.albos</t>
  </si>
  <si>
    <t>Translator</t>
  </si>
  <si>
    <t>Non T-GAS</t>
  </si>
  <si>
    <t>kriszha.e.d.alinea</t>
  </si>
  <si>
    <t>Gr8</t>
  </si>
  <si>
    <t>New Joiner</t>
  </si>
  <si>
    <t>bryan.paolo.p.andres</t>
  </si>
  <si>
    <t>Gr7</t>
  </si>
  <si>
    <t>Romar</t>
  </si>
  <si>
    <t>krissa.c.anyayahan</t>
  </si>
  <si>
    <t>ana.nicole.a.aprid</t>
  </si>
  <si>
    <t>lysander.b.arbis</t>
  </si>
  <si>
    <t>Ragee</t>
  </si>
  <si>
    <t>sonny.s.aurellano</t>
  </si>
  <si>
    <t>julie.a.p.bajamundi</t>
  </si>
  <si>
    <t>Gr5</t>
  </si>
  <si>
    <t>beryl.joy.p.balaguer</t>
  </si>
  <si>
    <t>cristopher.g.barraba</t>
  </si>
  <si>
    <t>edward.c.barrantes</t>
  </si>
  <si>
    <t>michal.g.p.basiya</t>
  </si>
  <si>
    <t>jaan.a.b.battung</t>
  </si>
  <si>
    <t>joan.o.bautista</t>
  </si>
  <si>
    <t>orah.vita.l.beleno</t>
  </si>
  <si>
    <t>Gr6</t>
  </si>
  <si>
    <t>kim.m.bermas</t>
  </si>
  <si>
    <t>PMO</t>
  </si>
  <si>
    <t>michelle.p.bojo</t>
  </si>
  <si>
    <t>martin.n.l.buenaseda</t>
  </si>
  <si>
    <t>sidney.buenaventura</t>
  </si>
  <si>
    <t>michelle.c.buergo</t>
  </si>
  <si>
    <t>ma.diane.o.bulatao</t>
  </si>
  <si>
    <t>jasmine.a.caceres</t>
  </si>
  <si>
    <t>arjay.f.camaso</t>
  </si>
  <si>
    <t>manuel.l.canete.ii</t>
  </si>
  <si>
    <t>cheinille.l.casim</t>
  </si>
  <si>
    <t>djenna.c.s.castaneda</t>
  </si>
  <si>
    <t>cyrene.joyce.cestina</t>
  </si>
  <si>
    <t>Gr3</t>
  </si>
  <si>
    <t>adora.q.clemente</t>
  </si>
  <si>
    <t>Management</t>
  </si>
  <si>
    <t>conie.m.s.cordial</t>
  </si>
  <si>
    <t>mariel.d.b.de.juan</t>
  </si>
  <si>
    <t>r.alfred.m.de.leon</t>
  </si>
  <si>
    <t>germaine.t.de.villa</t>
  </si>
  <si>
    <t>roden.m.decolongon</t>
  </si>
  <si>
    <t>paul.ryan.a.dedumo</t>
  </si>
  <si>
    <t>aron.r.dela.cruz</t>
  </si>
  <si>
    <t>nikole.s.dela.cruz</t>
  </si>
  <si>
    <t>hannah.c.m.dicon</t>
  </si>
  <si>
    <t>Team Lead</t>
  </si>
  <si>
    <t>rujie.ann.l.dingding</t>
  </si>
  <si>
    <t>ted.josiah.s.domingo</t>
  </si>
  <si>
    <t>sarah.mae.o.duria</t>
  </si>
  <si>
    <t>emmanuel.m.espina</t>
  </si>
  <si>
    <t>patricia.c.fernandez</t>
  </si>
  <si>
    <t>mary.john.m.flores</t>
  </si>
  <si>
    <t>rachelle.i.flores</t>
  </si>
  <si>
    <t>kirby.a.fontanilla</t>
  </si>
  <si>
    <t>r.g.francisco.jr</t>
  </si>
  <si>
    <t>maria.t.k.fujita</t>
  </si>
  <si>
    <t>michael.o.gabrang</t>
  </si>
  <si>
    <t>genevieve.j.gabriel</t>
  </si>
  <si>
    <t>jian.paul.d.gallarte</t>
  </si>
  <si>
    <t>robert.b.p.gavino</t>
  </si>
  <si>
    <t>daxz.jude.f.gonzales</t>
  </si>
  <si>
    <t>k.t.gonzales</t>
  </si>
  <si>
    <t>margilyn.s.guanzon</t>
  </si>
  <si>
    <t>peter.john.f.guinto</t>
  </si>
  <si>
    <t>maria.l.c.halamani</t>
  </si>
  <si>
    <t>jose.mari.b.hanopol</t>
  </si>
  <si>
    <t>ciaron.j.b.hernandez</t>
  </si>
  <si>
    <t>kristine.t.laureano</t>
  </si>
  <si>
    <t>herschell.a.laurel</t>
  </si>
  <si>
    <t>timothy.john.m.lee</t>
  </si>
  <si>
    <t>alvin.t.lingat</t>
  </si>
  <si>
    <t>jose.cristian.e.lopez</t>
  </si>
  <si>
    <t>maribeth.r.maca</t>
  </si>
  <si>
    <t>marjorie.r.maclang</t>
  </si>
  <si>
    <t>ma.l.p.magdadaro</t>
  </si>
  <si>
    <t>windel.c.magdaong</t>
  </si>
  <si>
    <t>c.s.maramis</t>
  </si>
  <si>
    <t>katrina.c.l.mendiola</t>
  </si>
  <si>
    <t>michaela.a.a.mortera</t>
  </si>
  <si>
    <t>jane.m.a.musni</t>
  </si>
  <si>
    <t>ian.c.c.naco</t>
  </si>
  <si>
    <t>james.m.v.navarro</t>
  </si>
  <si>
    <t>charito.r.ocampo</t>
  </si>
  <si>
    <t>ragee.joy.c.pascual</t>
  </si>
  <si>
    <t>mary.c.c.plaza</t>
  </si>
  <si>
    <t>alvin.jan.g.salinas</t>
  </si>
  <si>
    <t>irwin.m.san.pedro.jr</t>
  </si>
  <si>
    <t>annalyn.r.sarmiento</t>
  </si>
  <si>
    <t>rolf.john.s.siason</t>
  </si>
  <si>
    <t>almond.n.soleybar</t>
  </si>
  <si>
    <t>arlyn.may.b.subala</t>
  </si>
  <si>
    <t>mark.niel.p.sy</t>
  </si>
  <si>
    <t>patrick.m.tangtatco</t>
  </si>
  <si>
    <t>ralfh.k.a.umipig</t>
  </si>
  <si>
    <t>leonard.l.vergara</t>
  </si>
  <si>
    <t>bernadette.b.vida</t>
  </si>
  <si>
    <t>jefferro.f.villasin</t>
  </si>
  <si>
    <t>bernard.f.yap</t>
  </si>
  <si>
    <t>john.michael.s.yumul</t>
  </si>
  <si>
    <t>jazmine.m.zafra</t>
  </si>
  <si>
    <r>
      <t xml:space="preserve">Employee ID: </t>
    </r>
    <r>
      <rPr>
        <b/>
        <sz val="10"/>
        <color rgb="FFFF0000"/>
        <rFont val="Calibri"/>
        <family val="2"/>
      </rPr>
      <t>*</t>
    </r>
    <phoneticPr fontId="2"/>
  </si>
  <si>
    <t>Accenture EID:</t>
    <phoneticPr fontId="2"/>
  </si>
  <si>
    <t>Name:</t>
    <phoneticPr fontId="2"/>
  </si>
  <si>
    <t>Roll-in Date</t>
    <phoneticPr fontId="2"/>
  </si>
  <si>
    <t>ID No.</t>
    <phoneticPr fontId="2"/>
  </si>
  <si>
    <t xml:space="preserve">Section: </t>
    <phoneticPr fontId="2"/>
  </si>
  <si>
    <t>Job Role</t>
    <phoneticPr fontId="2"/>
  </si>
  <si>
    <t>Tester</t>
  </si>
  <si>
    <t>OCC</t>
  </si>
  <si>
    <t>Manager</t>
  </si>
  <si>
    <t>SMR</t>
  </si>
  <si>
    <t>Version</t>
    <phoneticPr fontId="2"/>
  </si>
  <si>
    <t>ReadMe</t>
    <phoneticPr fontId="2"/>
  </si>
  <si>
    <t>Report</t>
    <phoneticPr fontId="2"/>
  </si>
  <si>
    <t>Resource</t>
    <phoneticPr fontId="2"/>
  </si>
  <si>
    <t>\\10.72.144.7\Common\Attendance</t>
    <phoneticPr fontId="2"/>
  </si>
  <si>
    <t>Path</t>
    <phoneticPr fontId="2"/>
  </si>
  <si>
    <t>BackUp</t>
    <phoneticPr fontId="2"/>
  </si>
  <si>
    <t>CreateBackupForDKDRV</t>
  </si>
  <si>
    <t>CreateBackupForFHI</t>
  </si>
  <si>
    <t>CreateBackupForMBDABG</t>
  </si>
  <si>
    <t>CreateBackupForMNG</t>
  </si>
  <si>
    <t>DB</t>
    <phoneticPr fontId="2"/>
  </si>
  <si>
    <t>myTimeKeeperDBDKDRV</t>
  </si>
  <si>
    <t>myTimeKeeperDBMNG</t>
  </si>
  <si>
    <t>myTimeKeeperDBMBDABG</t>
  </si>
  <si>
    <t>myTimeKeeperDBFHI</t>
  </si>
  <si>
    <t>Change of UI and rename the tool</t>
    <phoneticPr fontId="2"/>
  </si>
  <si>
    <t>Fix:
Bug in Scrub userform</t>
    <phoneticPr fontId="2"/>
  </si>
  <si>
    <t>2017/2/24
Paul Ryan A. Dedumo</t>
    <phoneticPr fontId="2"/>
  </si>
  <si>
    <t>2017/2/13
Paul Genesis Bermudez</t>
    <phoneticPr fontId="2"/>
  </si>
  <si>
    <t>Scrub Userform will pop-up and fill up the fields you wabt to scrub, and click Scrub</t>
    <phoneticPr fontId="2"/>
  </si>
  <si>
    <t>\\10.72.144.7\accenture\Common\03 Management Documents\02 Work Plan and Time Management\01 myTimeKeeper\01 Admin\00 DB\myTimeKeeperDBDKDRV.xls</t>
    <phoneticPr fontId="2"/>
  </si>
  <si>
    <t>\\10.72.144.7\accenture\Common\03 Management Documents\02 Work Plan and Time Management\01 myTimeKeeper\01 Admin\00 DB\myTimeKeeperDBFHI.xls</t>
    <phoneticPr fontId="2"/>
  </si>
  <si>
    <t>\\dtphsrv07\ACCENTURE\Common\03 Management Documents\02 Work Plan and Time Management\01 myTimeKeeper\01 Admin\00 DB\myTimeKeeperDBMBDABG.xls</t>
  </si>
  <si>
    <t>\\10.72.144.7\accenture\Common\03 Management Documents\02 Work Plan and Time Management\01 myTimeKeeper\01 Admin\00 DB\myTimeKeeperDBMBDABG.xls</t>
    <phoneticPr fontId="2"/>
  </si>
  <si>
    <t>Job Title</t>
    <phoneticPr fontId="2"/>
  </si>
  <si>
    <t>DB_Group:</t>
    <phoneticPr fontId="2"/>
  </si>
  <si>
    <t>Path:</t>
    <phoneticPr fontId="2"/>
  </si>
  <si>
    <t>BackUp:</t>
    <phoneticPr fontId="2"/>
  </si>
  <si>
    <t>Lunch Time:</t>
    <phoneticPr fontId="2"/>
  </si>
  <si>
    <t>Employee ID:</t>
    <phoneticPr fontId="2"/>
  </si>
  <si>
    <t>Name:</t>
    <phoneticPr fontId="2"/>
  </si>
  <si>
    <t>Accenture EID:</t>
    <phoneticPr fontId="2"/>
  </si>
  <si>
    <t>Job Role</t>
    <phoneticPr fontId="2"/>
  </si>
  <si>
    <t>Section:</t>
    <phoneticPr fontId="2"/>
  </si>
  <si>
    <t>Group:</t>
    <phoneticPr fontId="2"/>
  </si>
  <si>
    <t>Tower:</t>
    <phoneticPr fontId="2"/>
  </si>
  <si>
    <t>Division:</t>
    <phoneticPr fontId="2"/>
  </si>
  <si>
    <t>Roll-in Date:</t>
    <phoneticPr fontId="2"/>
  </si>
  <si>
    <t>\\10.72.144.7\accenture\Common\03 Management Documents\02 Work Plan and Time Management\01 myTimeKeeper\01 Admin\00 DB\myTimeKeeperDBMNG.xls</t>
  </si>
  <si>
    <t>Fixes:
- Computation when logged in before 7 AM
- Computation when logged in within lunch time.</t>
    <phoneticPr fontId="2"/>
  </si>
  <si>
    <t>2017/3/27
Paul Ryan A. Dedumo</t>
    <phoneticPr fontId="2"/>
  </si>
  <si>
    <t>EmployeeHub</t>
    <phoneticPr fontId="2"/>
  </si>
  <si>
    <t>This worksheet is where the tool needs to be executed.</t>
    <phoneticPr fontId="2"/>
  </si>
  <si>
    <t>You must approach your Lead and/or PMO to scrub your details.</t>
  </si>
  <si>
    <t>g.</t>
    <phoneticPr fontId="2"/>
  </si>
  <si>
    <t>In case you forgot to logout on that day, you cannot backtrack on the previous day. You must approach your Lead and/or PMO to scrub your details.</t>
    <phoneticPr fontId="2"/>
  </si>
  <si>
    <t>Update: Lunch time</t>
    <phoneticPr fontId="2"/>
  </si>
  <si>
    <t>Update:
Added new roll-ins in T-GAS
Change tagging</t>
    <phoneticPr fontId="2"/>
  </si>
  <si>
    <t>2017/9/19
Paul Ryan A. Dedumo</t>
    <phoneticPr fontId="2"/>
  </si>
  <si>
    <t>-</t>
    <phoneticPr fontId="2"/>
  </si>
  <si>
    <t>Update Resource Tab</t>
    <phoneticPr fontId="2"/>
  </si>
  <si>
    <t>2018/04/17
Ana Jeni Kay O. Cledera</t>
    <phoneticPr fontId="2"/>
  </si>
  <si>
    <t>-</t>
    <phoneticPr fontId="2"/>
  </si>
  <si>
    <t>Dedumo, Paul Ryan A.</t>
  </si>
  <si>
    <t>Gavino, Robert Bryan P.</t>
  </si>
  <si>
    <t>Cestina, Cyrene Joyce</t>
  </si>
  <si>
    <t>Casim, Cheinille L.</t>
  </si>
  <si>
    <t>Alinea, Krishza Emille D.</t>
  </si>
  <si>
    <t>Anyayahan, Krissa C.</t>
  </si>
  <si>
    <t>Subala, Arlyn May B.</t>
  </si>
  <si>
    <t>Andres, Bryan Paolo P.</t>
  </si>
  <si>
    <t>Fernandez, Patricia Mari C.</t>
  </si>
  <si>
    <t>Espina, Emmanuel M.</t>
  </si>
  <si>
    <t>Mendiola, Katrina Camille L.</t>
  </si>
  <si>
    <t>Maramis, Christopher S.</t>
  </si>
  <si>
    <t>Fontanilla, Kirby A.</t>
  </si>
  <si>
    <t>Ocampo, Charito R.</t>
  </si>
  <si>
    <t>Bajamundi, Julie Anne P.</t>
  </si>
  <si>
    <t>Fujita, Maria Theresa K.</t>
  </si>
  <si>
    <t>Urbano, Andrea Marie D.</t>
  </si>
  <si>
    <t>Flores, Rachelle I.</t>
  </si>
  <si>
    <t>Vida, Bernadette B.</t>
  </si>
  <si>
    <t>Aprid, Ana Nicole A.</t>
  </si>
  <si>
    <t>Yuzo, Kawano</t>
  </si>
  <si>
    <t>Cañete II, Manuel L.</t>
  </si>
  <si>
    <t>Baustista, Mikaela Grace B.</t>
  </si>
  <si>
    <t>Roldan, Rina Christine L.</t>
  </si>
  <si>
    <t>Naui, John Anthony H.</t>
  </si>
  <si>
    <t>Cerdan, John Paul C.</t>
  </si>
  <si>
    <t>Takayoshi Kazushima</t>
  </si>
  <si>
    <t>Panda, Sittie Kashmia Mhylnne M.</t>
  </si>
  <si>
    <t>romar.n.dimaculangan</t>
  </si>
  <si>
    <t>andrea.m.d.urbano</t>
  </si>
  <si>
    <t>kawano.yuzo</t>
  </si>
  <si>
    <t>mikaela.g.b.bautista</t>
  </si>
  <si>
    <t>rina.c.l.roldan</t>
  </si>
  <si>
    <t>john.anthony.h.naui</t>
  </si>
  <si>
    <t>john.paul.c.cerdan</t>
  </si>
  <si>
    <t>takayoshi.kazushima</t>
  </si>
  <si>
    <t>sittie.k.m.panda</t>
  </si>
  <si>
    <t>BS2-3_ACN</t>
  </si>
  <si>
    <t>PS1-3_ACN</t>
  </si>
  <si>
    <t>9/11/2017</t>
  </si>
  <si>
    <t>9/18/2017</t>
  </si>
  <si>
    <t>10/02/2017</t>
  </si>
  <si>
    <t>2/12/2018</t>
  </si>
  <si>
    <t>4/16/2018</t>
  </si>
  <si>
    <t>Accenture EID</t>
  </si>
  <si>
    <t>Group</t>
  </si>
  <si>
    <t>Gr4</t>
  </si>
  <si>
    <t>Tower</t>
  </si>
  <si>
    <t>Ralfh</t>
  </si>
  <si>
    <t>James</t>
  </si>
  <si>
    <t xml:space="preserve"> </t>
  </si>
  <si>
    <t>Section Code</t>
  </si>
  <si>
    <t>Date</t>
    <phoneticPr fontId="2"/>
  </si>
  <si>
    <t>Time-In</t>
    <phoneticPr fontId="2"/>
  </si>
  <si>
    <t>AM</t>
    <phoneticPr fontId="2"/>
  </si>
  <si>
    <t>PM</t>
    <phoneticPr fontId="2"/>
  </si>
  <si>
    <t>Time-Out</t>
    <phoneticPr fontId="2"/>
  </si>
  <si>
    <t>Type of Leave | Break</t>
    <phoneticPr fontId="2"/>
  </si>
  <si>
    <t>Leave Hrs</t>
    <phoneticPr fontId="2"/>
  </si>
  <si>
    <t>Approved By</t>
    <phoneticPr fontId="2"/>
  </si>
  <si>
    <t>Total Hrs</t>
    <phoneticPr fontId="2"/>
  </si>
  <si>
    <t>Remarks</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</si>
</sst>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0.00_);[Red]\(0.00\)"/>
    <numFmt numFmtId="177" formatCode="[$-409]h:mm:ss\ AM/PM;@"/>
    <numFmt numFmtId="178" formatCode="#,##0.0_);[Red]\(#,##0.0\)"/>
    <numFmt numFmtId="179" formatCode="[$-F400]h:mm:ss\ AM/PM"/>
    <numFmt numFmtId="180" formatCode="yyyy/mm/dd\ \|\ hh:mm"/>
    <numFmt numFmtId="181" formatCode="0.00;[Red]0.00"/>
    <numFmt numFmtId="182" formatCode="##,#00.00;[Red]##,#00.00"/>
    <numFmt numFmtId="183" formatCode="[$-409]yyyy/mm/dd;@"/>
    <numFmt numFmtId="184" formatCode="000"/>
    <numFmt numFmtId="185" formatCode="mm/dd/yy"/>
  </numFmts>
  <fonts count="23" x14ac:knownFonts="1">
    <font>
      <sz val="11"/>
      <color theme="1"/>
      <name val="ＭＳ Ｐゴシック"/>
      <family val="2"/>
      <charset val="128"/>
      <scheme val="minor"/>
    </font>
    <font>
      <sz val="10"/>
      <color theme="1"/>
      <name val="Calibri"/>
      <family val="2"/>
    </font>
    <font>
      <sz val="6"/>
      <name val="ＭＳ Ｐゴシック"/>
      <family val="2"/>
      <charset val="128"/>
      <scheme val="minor"/>
    </font>
    <font>
      <sz val="11"/>
      <name val="ＭＳ Ｐゴシック"/>
      <family val="3"/>
      <charset val="128"/>
    </font>
    <font>
      <sz val="11"/>
      <name val="ＭＳ ゴシック"/>
      <family val="3"/>
      <charset val="128"/>
    </font>
    <font>
      <b/>
      <sz val="10"/>
      <color theme="0"/>
      <name val="Calibri"/>
      <family val="2"/>
    </font>
    <font>
      <sz val="10"/>
      <color theme="1" tint="0.249977111117893"/>
      <name val="Calibri"/>
      <family val="2"/>
    </font>
    <font>
      <sz val="10"/>
      <name val="Calibri"/>
      <family val="2"/>
    </font>
    <font>
      <u/>
      <sz val="10"/>
      <name val="Calibri"/>
      <family val="2"/>
    </font>
    <font>
      <b/>
      <sz val="10"/>
      <color theme="1" tint="0.249977111117893"/>
      <name val="Calibri"/>
      <family val="2"/>
    </font>
    <font>
      <sz val="12"/>
      <color theme="1"/>
      <name val="Arial"/>
      <family val="2"/>
    </font>
    <font>
      <b/>
      <sz val="12"/>
      <color theme="0"/>
      <name val="Arial"/>
      <family val="2"/>
    </font>
    <font>
      <sz val="10"/>
      <color theme="0"/>
      <name val="Arial"/>
      <family val="2"/>
    </font>
    <font>
      <sz val="10"/>
      <color theme="1"/>
      <name val="Arial"/>
      <family val="2"/>
    </font>
    <font>
      <b/>
      <sz val="8"/>
      <color theme="4" tint="-0.499984740745262"/>
      <name val="Arial"/>
      <family val="2"/>
    </font>
    <font>
      <sz val="8"/>
      <color theme="1"/>
      <name val="Arial"/>
      <family val="2"/>
    </font>
    <font>
      <sz val="8"/>
      <color theme="0"/>
      <name val="Arial"/>
      <family val="2"/>
    </font>
    <font>
      <b/>
      <sz val="8"/>
      <color theme="1"/>
      <name val="Arial"/>
      <family val="2"/>
    </font>
    <font>
      <b/>
      <sz val="8"/>
      <color theme="0"/>
      <name val="Arial"/>
      <family val="2"/>
    </font>
    <font>
      <b/>
      <sz val="10"/>
      <color rgb="FFFF0000"/>
      <name val="Calibri"/>
      <family val="2"/>
    </font>
    <font>
      <b/>
      <sz val="10"/>
      <color theme="1"/>
      <name val="Calibri"/>
      <family val="2"/>
    </font>
    <font>
      <u/>
      <sz val="8"/>
      <color rgb="FF0070C0"/>
      <name val="Arial"/>
      <family val="2"/>
    </font>
    <font>
      <sz val="10"/>
      <color indexed="8"/>
      <name val="Calibri"/>
      <family val="2"/>
    </font>
  </fonts>
  <fills count="11">
    <fill>
      <patternFill patternType="none"/>
    </fill>
    <fill>
      <patternFill patternType="gray125"/>
    </fill>
    <fill>
      <patternFill patternType="solid">
        <fgColor theme="1"/>
        <bgColor theme="1"/>
      </patternFill>
    </fill>
    <fill>
      <patternFill patternType="solid">
        <fgColor rgb="FF0070C0"/>
        <bgColor theme="4"/>
      </patternFill>
    </fill>
    <fill>
      <patternFill patternType="solid">
        <fgColor theme="0" tint="-0.14999847407452621"/>
        <bgColor indexed="64"/>
      </patternFill>
    </fill>
    <fill>
      <patternFill patternType="solid">
        <fgColor rgb="FFFFFF99"/>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rgb="FF00A09E"/>
        <bgColor indexed="64"/>
      </patternFill>
    </fill>
    <fill>
      <patternFill patternType="solid">
        <fgColor rgb="FF0070C0"/>
        <bgColor indexed="64"/>
      </patternFill>
    </fill>
    <fill>
      <patternFill patternType="solid">
        <fgColor rgb="FFFFFF00"/>
        <bgColor indexed="64"/>
      </patternFill>
    </fill>
  </fills>
  <borders count="22">
    <border>
      <left/>
      <right/>
      <top/>
      <bottom/>
      <diagonal/>
    </border>
    <border>
      <left/>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theme="4"/>
      </right>
      <top style="thin">
        <color theme="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thin">
        <color indexed="64"/>
      </top>
      <bottom/>
      <diagonal/>
    </border>
  </borders>
  <cellStyleXfs count="3">
    <xf numFmtId="0" fontId="0" fillId="0" borderId="0">
      <alignment vertical="center"/>
    </xf>
    <xf numFmtId="0" fontId="3" fillId="0" borderId="0"/>
    <xf numFmtId="0" fontId="4" fillId="0" borderId="0"/>
  </cellStyleXfs>
  <cellXfs count="115">
    <xf numFmtId="0" fontId="0" fillId="0" borderId="0" xfId="0">
      <alignment vertical="center"/>
    </xf>
    <xf numFmtId="0" fontId="5" fillId="3" borderId="5" xfId="0" applyFont="1" applyFill="1" applyBorder="1" applyAlignment="1">
      <alignment horizontal="center" vertical="center"/>
    </xf>
    <xf numFmtId="0" fontId="5" fillId="3" borderId="0" xfId="0" applyFont="1" applyFill="1" applyBorder="1" applyAlignment="1">
      <alignment vertical="top" wrapText="1"/>
    </xf>
    <xf numFmtId="0" fontId="7" fillId="0" borderId="0" xfId="0" applyFont="1" applyFill="1">
      <alignment vertical="center"/>
    </xf>
    <xf numFmtId="0" fontId="7" fillId="0" borderId="0" xfId="0" applyFont="1" applyFill="1" applyBorder="1">
      <alignment vertical="center"/>
    </xf>
    <xf numFmtId="0" fontId="8" fillId="0" borderId="0" xfId="0" applyFont="1" applyFill="1" applyBorder="1" applyAlignment="1">
      <alignment horizontal="right" vertical="center"/>
    </xf>
    <xf numFmtId="0" fontId="7" fillId="0" borderId="0" xfId="0" applyFont="1" applyFill="1" applyBorder="1" applyAlignment="1">
      <alignment horizontal="right" vertical="center"/>
    </xf>
    <xf numFmtId="0" fontId="1" fillId="0" borderId="0" xfId="0" applyFont="1" applyProtection="1">
      <alignment vertical="center"/>
      <protection locked="0"/>
    </xf>
    <xf numFmtId="177" fontId="1" fillId="0" borderId="0" xfId="0" applyNumberFormat="1" applyFont="1" applyProtection="1">
      <alignment vertical="center"/>
      <protection locked="0"/>
    </xf>
    <xf numFmtId="176" fontId="1" fillId="0" borderId="0" xfId="0" applyNumberFormat="1" applyFont="1" applyProtection="1">
      <alignment vertical="center"/>
      <protection locked="0"/>
    </xf>
    <xf numFmtId="176" fontId="1" fillId="0" borderId="0" xfId="0" applyNumberFormat="1" applyFont="1" applyAlignment="1" applyProtection="1">
      <alignment horizontal="center" vertical="center"/>
      <protection locked="0"/>
    </xf>
    <xf numFmtId="0" fontId="1" fillId="0" borderId="0" xfId="0" applyFont="1" applyProtection="1">
      <alignment vertical="center"/>
    </xf>
    <xf numFmtId="177" fontId="1" fillId="0" borderId="6" xfId="0" applyNumberFormat="1" applyFont="1" applyBorder="1" applyProtection="1">
      <alignment vertical="center"/>
    </xf>
    <xf numFmtId="177" fontId="1" fillId="0" borderId="3" xfId="0" applyNumberFormat="1" applyFont="1" applyBorder="1" applyProtection="1">
      <alignment vertical="center"/>
    </xf>
    <xf numFmtId="177" fontId="1" fillId="4" borderId="2" xfId="0" applyNumberFormat="1" applyFont="1" applyFill="1" applyBorder="1" applyAlignment="1" applyProtection="1">
      <alignment vertical="center" wrapText="1"/>
    </xf>
    <xf numFmtId="177" fontId="1" fillId="4" borderId="4" xfId="0" applyNumberFormat="1" applyFont="1" applyFill="1" applyBorder="1" applyAlignment="1" applyProtection="1">
      <alignment vertical="center" wrapText="1"/>
    </xf>
    <xf numFmtId="176" fontId="1" fillId="0" borderId="0" xfId="0" applyNumberFormat="1" applyFont="1" applyBorder="1" applyProtection="1">
      <alignment vertical="center"/>
    </xf>
    <xf numFmtId="176" fontId="1" fillId="0" borderId="0" xfId="0" applyNumberFormat="1" applyFont="1" applyBorder="1" applyAlignment="1" applyProtection="1">
      <alignment horizontal="center" vertical="center"/>
    </xf>
    <xf numFmtId="176" fontId="1" fillId="0" borderId="0" xfId="0" applyNumberFormat="1" applyFont="1" applyProtection="1">
      <alignment vertical="center"/>
    </xf>
    <xf numFmtId="177" fontId="1" fillId="0" borderId="0" xfId="0" applyNumberFormat="1" applyFont="1" applyProtection="1">
      <alignment vertical="center"/>
    </xf>
    <xf numFmtId="176" fontId="1" fillId="0" borderId="0" xfId="0" applyNumberFormat="1" applyFont="1" applyAlignment="1" applyProtection="1">
      <alignment horizontal="center" vertical="center"/>
    </xf>
    <xf numFmtId="14" fontId="1" fillId="0" borderId="0" xfId="0" applyNumberFormat="1" applyFont="1" applyProtection="1">
      <alignment vertical="center"/>
    </xf>
    <xf numFmtId="0" fontId="1" fillId="0" borderId="0" xfId="0" applyFont="1" applyBorder="1" applyAlignment="1" applyProtection="1">
      <alignment vertical="center"/>
    </xf>
    <xf numFmtId="177" fontId="1" fillId="0" borderId="12" xfId="0" applyNumberFormat="1" applyFont="1" applyBorder="1" applyProtection="1">
      <alignment vertical="center"/>
    </xf>
    <xf numFmtId="177" fontId="1" fillId="4" borderId="13" xfId="0" applyNumberFormat="1" applyFont="1" applyFill="1" applyBorder="1" applyAlignment="1" applyProtection="1">
      <alignment vertical="center" wrapText="1"/>
    </xf>
    <xf numFmtId="178" fontId="1" fillId="0" borderId="6" xfId="0" applyNumberFormat="1" applyFont="1" applyBorder="1" applyAlignment="1" applyProtection="1">
      <alignment horizontal="left" vertical="center"/>
    </xf>
    <xf numFmtId="178" fontId="1" fillId="0" borderId="12" xfId="0" applyNumberFormat="1" applyFont="1" applyBorder="1" applyAlignment="1" applyProtection="1">
      <alignment horizontal="left" vertical="center"/>
    </xf>
    <xf numFmtId="178" fontId="1" fillId="0" borderId="3" xfId="0" applyNumberFormat="1" applyFont="1" applyBorder="1" applyAlignment="1" applyProtection="1">
      <alignment horizontal="left" vertical="center"/>
    </xf>
    <xf numFmtId="0" fontId="1" fillId="0" borderId="0" xfId="0" applyFont="1">
      <alignment vertical="center"/>
    </xf>
    <xf numFmtId="0" fontId="10" fillId="0" borderId="0" xfId="0" applyFont="1">
      <alignment vertical="center"/>
    </xf>
    <xf numFmtId="0" fontId="13" fillId="0" borderId="0" xfId="0" applyFont="1">
      <alignment vertical="center"/>
    </xf>
    <xf numFmtId="0" fontId="15" fillId="0" borderId="0" xfId="0" applyFont="1">
      <alignment vertical="center"/>
    </xf>
    <xf numFmtId="0" fontId="18" fillId="7" borderId="19" xfId="0" applyFont="1" applyFill="1" applyBorder="1">
      <alignment vertical="center"/>
    </xf>
    <xf numFmtId="0" fontId="17" fillId="0" borderId="0" xfId="0" applyFont="1">
      <alignment vertical="center"/>
    </xf>
    <xf numFmtId="0" fontId="17" fillId="0" borderId="19" xfId="0" applyFont="1" applyBorder="1" applyAlignment="1">
      <alignment horizontal="right" vertical="center"/>
    </xf>
    <xf numFmtId="0" fontId="15" fillId="0" borderId="0" xfId="0" applyFont="1" applyBorder="1">
      <alignment vertical="center"/>
    </xf>
    <xf numFmtId="0" fontId="15" fillId="0" borderId="20" xfId="0" applyFont="1" applyBorder="1">
      <alignment vertical="center"/>
    </xf>
    <xf numFmtId="0" fontId="15" fillId="0" borderId="1" xfId="0" applyFont="1" applyBorder="1">
      <alignment vertical="center"/>
    </xf>
    <xf numFmtId="0" fontId="17" fillId="0" borderId="20" xfId="0" applyFont="1" applyBorder="1" applyAlignment="1">
      <alignment horizontal="right" vertical="center"/>
    </xf>
    <xf numFmtId="180" fontId="1" fillId="0" borderId="6" xfId="0" applyNumberFormat="1" applyFont="1" applyBorder="1" applyAlignment="1" applyProtection="1">
      <alignment horizontal="center" vertical="center"/>
    </xf>
    <xf numFmtId="180" fontId="1" fillId="0" borderId="12" xfId="0" applyNumberFormat="1" applyFont="1" applyBorder="1" applyAlignment="1" applyProtection="1">
      <alignment horizontal="center" vertical="center"/>
    </xf>
    <xf numFmtId="180" fontId="1" fillId="0" borderId="3" xfId="0" applyNumberFormat="1" applyFont="1" applyBorder="1" applyAlignment="1" applyProtection="1">
      <alignment horizontal="center" vertical="center"/>
    </xf>
    <xf numFmtId="181" fontId="1" fillId="0" borderId="6" xfId="0" applyNumberFormat="1" applyFont="1" applyBorder="1" applyAlignment="1" applyProtection="1">
      <alignment horizontal="center" vertical="center"/>
    </xf>
    <xf numFmtId="181" fontId="1" fillId="0" borderId="12" xfId="0" applyNumberFormat="1" applyFont="1" applyBorder="1" applyAlignment="1" applyProtection="1">
      <alignment horizontal="center" vertical="center"/>
    </xf>
    <xf numFmtId="181" fontId="1" fillId="0" borderId="3" xfId="0" applyNumberFormat="1" applyFont="1" applyBorder="1" applyAlignment="1" applyProtection="1">
      <alignment horizontal="center" vertical="center"/>
    </xf>
    <xf numFmtId="182" fontId="1" fillId="0" borderId="6" xfId="0" applyNumberFormat="1" applyFont="1" applyBorder="1" applyAlignment="1" applyProtection="1">
      <alignment horizontal="center" vertical="center"/>
    </xf>
    <xf numFmtId="182" fontId="1" fillId="0" borderId="12" xfId="0" applyNumberFormat="1" applyFont="1" applyBorder="1" applyAlignment="1" applyProtection="1">
      <alignment horizontal="center" vertical="center"/>
    </xf>
    <xf numFmtId="182" fontId="1" fillId="0" borderId="3" xfId="0" applyNumberFormat="1" applyFont="1" applyBorder="1" applyAlignment="1" applyProtection="1">
      <alignment horizontal="center" vertical="center"/>
    </xf>
    <xf numFmtId="14" fontId="6" fillId="5" borderId="10" xfId="0" applyNumberFormat="1" applyFont="1" applyFill="1" applyBorder="1" applyAlignment="1" applyProtection="1">
      <alignment horizontal="center" vertical="center"/>
      <protection locked="0"/>
    </xf>
    <xf numFmtId="14" fontId="6" fillId="5" borderId="21" xfId="0" applyNumberFormat="1" applyFont="1" applyFill="1" applyBorder="1" applyAlignment="1" applyProtection="1">
      <alignment horizontal="center" vertical="center"/>
      <protection locked="0"/>
    </xf>
    <xf numFmtId="14" fontId="6" fillId="5" borderId="11" xfId="0" applyNumberFormat="1" applyFont="1" applyFill="1" applyBorder="1" applyAlignment="1" applyProtection="1">
      <alignment horizontal="center" vertical="center"/>
      <protection locked="0"/>
    </xf>
    <xf numFmtId="0" fontId="5" fillId="8" borderId="7" xfId="0" applyFont="1" applyFill="1" applyBorder="1" applyAlignment="1" applyProtection="1">
      <alignment horizontal="center" vertical="center"/>
    </xf>
    <xf numFmtId="177" fontId="5" fillId="8" borderId="8" xfId="0" applyNumberFormat="1" applyFont="1" applyFill="1" applyBorder="1" applyAlignment="1" applyProtection="1">
      <alignment horizontal="center" vertical="center"/>
    </xf>
    <xf numFmtId="176" fontId="5" fillId="8" borderId="8" xfId="0" applyNumberFormat="1" applyFont="1" applyFill="1" applyBorder="1" applyAlignment="1" applyProtection="1">
      <alignment horizontal="center" vertical="center"/>
    </xf>
    <xf numFmtId="176" fontId="5" fillId="8" borderId="9" xfId="0" applyNumberFormat="1" applyFont="1" applyFill="1" applyBorder="1" applyAlignment="1" applyProtection="1">
      <alignment horizontal="center" vertical="center"/>
    </xf>
    <xf numFmtId="0" fontId="1" fillId="0" borderId="0" xfId="0" applyFont="1" applyAlignment="1">
      <alignment horizontal="center" vertical="center"/>
    </xf>
    <xf numFmtId="0" fontId="1" fillId="0" borderId="0" xfId="0" applyFont="1" applyAlignment="1">
      <alignment horizontal="left" vertical="center" indent="1"/>
    </xf>
    <xf numFmtId="0" fontId="0" fillId="0" borderId="0" xfId="0" applyAlignment="1">
      <alignment horizontal="left" vertical="center" indent="1"/>
    </xf>
    <xf numFmtId="0" fontId="1" fillId="0" borderId="0" xfId="0" applyFont="1" applyAlignment="1">
      <alignment horizontal="left" vertical="center"/>
    </xf>
    <xf numFmtId="183" fontId="1" fillId="0" borderId="0" xfId="0" applyNumberFormat="1" applyFont="1" applyAlignment="1">
      <alignment horizontal="center" vertical="center"/>
    </xf>
    <xf numFmtId="0" fontId="1" fillId="9" borderId="0" xfId="0" applyFont="1" applyFill="1" applyAlignment="1">
      <alignment horizontal="center" vertical="center"/>
    </xf>
    <xf numFmtId="0" fontId="1" fillId="9" borderId="0" xfId="0" applyFont="1" applyFill="1">
      <alignment vertical="center"/>
    </xf>
    <xf numFmtId="183" fontId="1" fillId="9" borderId="0" xfId="0" applyNumberFormat="1" applyFont="1" applyFill="1" applyAlignment="1">
      <alignment vertical="center"/>
    </xf>
    <xf numFmtId="184" fontId="1" fillId="0" borderId="0" xfId="0" applyNumberFormat="1" applyFont="1" applyAlignment="1">
      <alignment horizontal="center" vertical="center"/>
    </xf>
    <xf numFmtId="0" fontId="9" fillId="0" borderId="0" xfId="0" applyFont="1" applyProtection="1">
      <alignment vertical="center"/>
    </xf>
    <xf numFmtId="0" fontId="6" fillId="0" borderId="0" xfId="0" applyFont="1" applyBorder="1" applyAlignment="1" applyProtection="1">
      <alignment horizontal="left" vertical="center"/>
    </xf>
    <xf numFmtId="176" fontId="20" fillId="0" borderId="0" xfId="0" applyNumberFormat="1" applyFont="1" applyBorder="1" applyProtection="1">
      <alignment vertical="center"/>
    </xf>
    <xf numFmtId="179" fontId="1" fillId="0" borderId="0" xfId="0" applyNumberFormat="1" applyFont="1" applyAlignment="1" applyProtection="1">
      <alignment horizontal="center" vertical="center"/>
    </xf>
    <xf numFmtId="183" fontId="1" fillId="9" borderId="0" xfId="0" applyNumberFormat="1" applyFont="1" applyFill="1" applyAlignment="1">
      <alignment horizontal="center" vertical="center"/>
    </xf>
    <xf numFmtId="0" fontId="1" fillId="0" borderId="0" xfId="0" applyNumberFormat="1" applyFont="1" applyAlignment="1">
      <alignment vertical="center"/>
    </xf>
    <xf numFmtId="0" fontId="1" fillId="0" borderId="0" xfId="0" applyFont="1" applyAlignment="1">
      <alignment vertical="center"/>
    </xf>
    <xf numFmtId="0" fontId="7" fillId="0" borderId="0" xfId="0" applyFont="1" applyProtection="1">
      <alignment vertical="center"/>
    </xf>
    <xf numFmtId="0" fontId="7" fillId="0" borderId="0" xfId="0" applyFont="1" applyBorder="1" applyAlignment="1" applyProtection="1">
      <alignment vertical="center"/>
    </xf>
    <xf numFmtId="0" fontId="7" fillId="0" borderId="0" xfId="0" applyFont="1" applyAlignment="1" applyProtection="1">
      <alignment horizontal="left" vertical="center"/>
    </xf>
    <xf numFmtId="185" fontId="7" fillId="0" borderId="0" xfId="0" applyNumberFormat="1" applyFont="1" applyAlignment="1" applyProtection="1">
      <alignment horizontal="left" vertical="center"/>
    </xf>
    <xf numFmtId="176" fontId="7" fillId="0" borderId="0" xfId="0" applyNumberFormat="1" applyFont="1" applyAlignment="1" applyProtection="1">
      <alignment horizontal="center" vertical="center"/>
    </xf>
    <xf numFmtId="0" fontId="5" fillId="3" borderId="0" xfId="0" applyFont="1" applyFill="1" applyBorder="1" applyAlignment="1">
      <alignment horizontal="center" vertical="center"/>
    </xf>
    <xf numFmtId="0" fontId="21" fillId="0" borderId="6" xfId="0" applyFont="1" applyBorder="1" applyAlignment="1">
      <alignment horizontal="left" vertical="center"/>
    </xf>
    <xf numFmtId="19" fontId="1" fillId="0" borderId="0" xfId="0" applyNumberFormat="1" applyFont="1" applyProtection="1">
      <alignment vertical="center"/>
    </xf>
    <xf numFmtId="0" fontId="6" fillId="0" borderId="0" xfId="0" applyFont="1" applyBorder="1" applyAlignment="1" applyProtection="1">
      <alignment vertical="center"/>
    </xf>
    <xf numFmtId="0" fontId="1" fillId="10" borderId="0" xfId="0" applyFont="1" applyFill="1">
      <alignment vertical="center"/>
    </xf>
    <xf numFmtId="0" fontId="1" fillId="10" borderId="0" xfId="0" applyNumberFormat="1" applyFont="1" applyFill="1" applyAlignment="1">
      <alignment vertical="center"/>
    </xf>
    <xf numFmtId="0" fontId="1" fillId="0" borderId="0" xfId="0" applyFont="1" applyFill="1" applyAlignment="1">
      <alignment horizontal="left" vertical="center"/>
    </xf>
    <xf numFmtId="0" fontId="1" fillId="0" borderId="0" xfId="0" applyFont="1" applyFill="1">
      <alignment vertical="center"/>
    </xf>
    <xf numFmtId="183" fontId="1" fillId="0" borderId="0" xfId="0" applyNumberFormat="1" applyFont="1" applyFill="1" applyAlignment="1">
      <alignment horizontal="center" vertical="center"/>
    </xf>
    <xf numFmtId="0" fontId="1" fillId="0" borderId="0" xfId="0" applyNumberFormat="1" applyFont="1" applyFill="1" applyAlignment="1">
      <alignment vertical="center"/>
    </xf>
    <xf numFmtId="0" fontId="1" fillId="0" borderId="0" xfId="0" applyNumberFormat="1" applyFont="1" applyAlignment="1">
      <alignment horizontal="left" vertical="center"/>
    </xf>
    <xf numFmtId="0" fontId="1" fillId="0" borderId="0" xfId="0" applyNumberFormat="1" applyFont="1">
      <alignment vertical="center"/>
    </xf>
    <xf numFmtId="0" fontId="1" fillId="0" borderId="0" xfId="0" applyFont="1" applyAlignment="1">
      <alignment vertical="center" wrapText="1"/>
    </xf>
    <xf numFmtId="0" fontId="20" fillId="0" borderId="0" xfId="1" applyFont="1" applyAlignment="1">
      <alignment wrapText="1"/>
    </xf>
    <xf numFmtId="0" fontId="1" fillId="0" borderId="0" xfId="1" applyFont="1" applyAlignment="1">
      <alignment wrapText="1"/>
    </xf>
    <xf numFmtId="0" fontId="5" fillId="2" borderId="0" xfId="1" applyNumberFormat="1" applyFont="1" applyFill="1" applyBorder="1" applyAlignment="1">
      <alignment horizontal="left" wrapText="1"/>
    </xf>
    <xf numFmtId="2" fontId="1" fillId="0" borderId="0" xfId="1" applyNumberFormat="1" applyFont="1" applyFill="1" applyBorder="1" applyAlignment="1">
      <alignment horizontal="left" vertical="center" wrapText="1"/>
    </xf>
    <xf numFmtId="0" fontId="22" fillId="0" borderId="0" xfId="1" applyNumberFormat="1" applyFont="1" applyFill="1" applyBorder="1" applyAlignment="1">
      <alignment horizontal="left" vertical="center" wrapText="1"/>
    </xf>
    <xf numFmtId="0" fontId="1" fillId="0" borderId="0" xfId="1" applyNumberFormat="1" applyFont="1" applyFill="1" applyBorder="1" applyAlignment="1">
      <alignment horizontal="left" vertical="center" wrapText="1"/>
    </xf>
    <xf numFmtId="2" fontId="1" fillId="0" borderId="0" xfId="1" applyNumberFormat="1" applyFont="1" applyFill="1" applyAlignment="1">
      <alignment horizontal="left" vertical="center" wrapText="1"/>
    </xf>
    <xf numFmtId="0" fontId="22" fillId="0" borderId="0" xfId="1" applyNumberFormat="1" applyFont="1" applyFill="1" applyAlignment="1">
      <alignment horizontal="left" vertical="center" wrapText="1"/>
    </xf>
    <xf numFmtId="0" fontId="1" fillId="0" borderId="0" xfId="1" applyNumberFormat="1" applyFont="1" applyFill="1" applyAlignment="1">
      <alignment horizontal="left" vertical="center" wrapText="1"/>
    </xf>
    <xf numFmtId="14" fontId="22" fillId="0" borderId="0" xfId="1" applyNumberFormat="1" applyFont="1" applyFill="1" applyAlignment="1">
      <alignment horizontal="left" vertical="center" wrapText="1"/>
    </xf>
    <xf numFmtId="0" fontId="18" fillId="7" borderId="0" xfId="0" applyFont="1" applyFill="1" applyBorder="1" applyAlignment="1">
      <alignment horizontal="left" vertical="center"/>
    </xf>
    <xf numFmtId="0" fontId="18" fillId="7" borderId="18" xfId="0" applyFont="1" applyFill="1" applyBorder="1" applyAlignment="1">
      <alignment horizontal="left" vertical="center"/>
    </xf>
    <xf numFmtId="0" fontId="15" fillId="0" borderId="6" xfId="0" applyFont="1" applyBorder="1" applyAlignment="1">
      <alignment horizontal="left" vertical="center"/>
    </xf>
    <xf numFmtId="0" fontId="16" fillId="6" borderId="0" xfId="0" applyFont="1" applyFill="1" applyAlignment="1">
      <alignment horizontal="left" vertical="center"/>
    </xf>
    <xf numFmtId="0" fontId="15" fillId="0" borderId="6" xfId="0" applyFont="1" applyBorder="1" applyAlignment="1">
      <alignment vertical="center" wrapText="1"/>
    </xf>
    <xf numFmtId="0" fontId="15" fillId="0" borderId="6" xfId="0" applyFont="1" applyBorder="1" applyAlignment="1">
      <alignment vertical="center"/>
    </xf>
    <xf numFmtId="0" fontId="16" fillId="6" borderId="17" xfId="0" applyFont="1" applyFill="1" applyBorder="1" applyAlignment="1">
      <alignment horizontal="left" vertical="center"/>
    </xf>
    <xf numFmtId="0" fontId="16" fillId="6" borderId="18" xfId="0" applyFont="1" applyFill="1" applyBorder="1" applyAlignment="1">
      <alignment horizontal="left" vertical="center"/>
    </xf>
    <xf numFmtId="0" fontId="11" fillId="6" borderId="0" xfId="0" applyFont="1" applyFill="1" applyAlignment="1">
      <alignment horizontal="center" vertical="center"/>
    </xf>
    <xf numFmtId="0" fontId="12" fillId="6" borderId="0" xfId="0" applyFont="1" applyFill="1" applyAlignment="1">
      <alignment horizontal="center" vertical="center"/>
    </xf>
    <xf numFmtId="0" fontId="14" fillId="0" borderId="14" xfId="0" applyFont="1" applyBorder="1" applyAlignment="1">
      <alignment horizontal="left" vertical="center" wrapText="1"/>
    </xf>
    <xf numFmtId="0" fontId="14" fillId="0" borderId="15" xfId="0" applyFont="1" applyBorder="1" applyAlignment="1">
      <alignment horizontal="left" vertical="center" wrapText="1"/>
    </xf>
    <xf numFmtId="0" fontId="5" fillId="8" borderId="14" xfId="0" applyFont="1" applyFill="1" applyBorder="1" applyAlignment="1" applyProtection="1">
      <alignment horizontal="center" vertical="center"/>
    </xf>
    <xf numFmtId="0" fontId="5" fillId="8" borderId="15" xfId="0" applyFont="1" applyFill="1" applyBorder="1" applyAlignment="1" applyProtection="1">
      <alignment horizontal="center" vertical="center"/>
    </xf>
    <xf numFmtId="0" fontId="5" fillId="8" borderId="16" xfId="0" applyFont="1" applyFill="1" applyBorder="1" applyAlignment="1" applyProtection="1">
      <alignment horizontal="center" vertical="center"/>
    </xf>
    <xf numFmtId="0" fontId="6" fillId="0" borderId="0" xfId="0" applyFont="1" applyBorder="1" applyAlignment="1" applyProtection="1">
      <alignment vertical="center"/>
    </xf>
  </cellXfs>
  <cellStyles count="3">
    <cellStyle name="Normal" xfId="0" builtinId="0"/>
    <cellStyle name="標準 2 2 11" xfId="1"/>
    <cellStyle name="標準 4" xfId="2"/>
  </cellStyles>
  <dxfs count="23">
    <dxf>
      <font>
        <strike val="0"/>
        <outline val="0"/>
        <shadow val="0"/>
        <u val="none"/>
        <vertAlign val="baseline"/>
        <sz val="10"/>
        <name val="Calibri"/>
        <scheme val="none"/>
      </font>
    </dxf>
    <dxf>
      <font>
        <strike val="0"/>
        <outline val="0"/>
        <shadow val="0"/>
        <u val="none"/>
        <vertAlign val="baseline"/>
        <sz val="10"/>
        <name val="Calibri"/>
        <scheme val="none"/>
      </font>
    </dxf>
    <dxf>
      <font>
        <strike val="0"/>
        <outline val="0"/>
        <shadow val="0"/>
        <u val="none"/>
        <vertAlign val="baseline"/>
        <sz val="10"/>
        <name val="Calibri"/>
        <scheme val="none"/>
      </font>
      <numFmt numFmtId="0" formatCode="General"/>
    </dxf>
    <dxf>
      <font>
        <strike val="0"/>
        <outline val="0"/>
        <shadow val="0"/>
        <u val="none"/>
        <vertAlign val="baseline"/>
        <sz val="10"/>
        <name val="Calibri"/>
        <scheme val="none"/>
      </font>
      <numFmt numFmtId="0" formatCode="General"/>
      <alignment horizontal="general" vertical="center" textRotation="0" wrapText="0" indent="0" justifyLastLine="0" shrinkToFit="0" readingOrder="0"/>
    </dxf>
    <dxf>
      <font>
        <strike val="0"/>
        <outline val="0"/>
        <shadow val="0"/>
        <u val="none"/>
        <vertAlign val="baseline"/>
        <sz val="10"/>
        <name val="Calibri"/>
        <scheme val="none"/>
      </font>
      <numFmt numFmtId="183" formatCode="[$-409]yyyy/mm/dd;@"/>
      <alignment horizontal="center" vertical="center" textRotation="0" wrapText="0" indent="0" justifyLastLine="0" shrinkToFit="0" readingOrder="0"/>
    </dxf>
    <dxf>
      <font>
        <strike val="0"/>
        <outline val="0"/>
        <shadow val="0"/>
        <u val="none"/>
        <vertAlign val="baseline"/>
        <sz val="10"/>
        <name val="Calibri"/>
        <scheme val="none"/>
      </font>
      <numFmt numFmtId="0" formatCode="General"/>
    </dxf>
    <dxf>
      <font>
        <strike val="0"/>
        <outline val="0"/>
        <shadow val="0"/>
        <u val="none"/>
        <vertAlign val="baseline"/>
        <sz val="10"/>
        <name val="Calibri"/>
        <scheme val="none"/>
      </font>
      <numFmt numFmtId="0" formatCode="General"/>
      <alignment horizontal="left" vertical="center" textRotation="0" wrapText="0" indent="0" justifyLastLine="0" shrinkToFit="0" readingOrder="0"/>
    </dxf>
    <dxf>
      <font>
        <strike val="0"/>
        <outline val="0"/>
        <shadow val="0"/>
        <u val="none"/>
        <vertAlign val="baseline"/>
        <sz val="10"/>
        <name val="Calibri"/>
        <scheme val="none"/>
      </font>
      <numFmt numFmtId="0" formatCode="General"/>
      <alignment horizontal="left" vertical="center" textRotation="0" wrapText="0" indent="0" justifyLastLine="0" shrinkToFit="0" readingOrder="0"/>
    </dxf>
    <dxf>
      <font>
        <strike val="0"/>
        <outline val="0"/>
        <shadow val="0"/>
        <u val="none"/>
        <vertAlign val="baseline"/>
        <sz val="10"/>
        <name val="Calibri"/>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dxf>
    <dxf>
      <font>
        <strike val="0"/>
        <outline val="0"/>
        <shadow val="0"/>
        <u val="none"/>
        <vertAlign val="baseline"/>
        <sz val="10"/>
        <name val="Calibri"/>
        <scheme val="none"/>
      </font>
      <numFmt numFmtId="0" formatCode="General"/>
      <alignment horizontal="left" vertical="center" textRotation="0" wrapText="0" indent="0" justifyLastLine="0" shrinkToFit="0" readingOrder="0"/>
    </dxf>
    <dxf>
      <font>
        <strike val="0"/>
        <outline val="0"/>
        <shadow val="0"/>
        <u val="none"/>
        <vertAlign val="baseline"/>
        <sz val="10"/>
        <name val="Calibri"/>
        <scheme val="none"/>
      </font>
      <alignment horizontal="left" vertical="center" textRotation="0" wrapText="0" indent="0" justifyLastLine="0" shrinkToFit="0" readingOrder="0"/>
    </dxf>
    <dxf>
      <font>
        <strike val="0"/>
        <outline val="0"/>
        <shadow val="0"/>
        <u val="none"/>
        <vertAlign val="baseline"/>
        <sz val="10"/>
        <name val="Calibri"/>
        <scheme val="none"/>
      </font>
      <numFmt numFmtId="184" formatCode="000"/>
      <alignment horizontal="center" textRotation="0" indent="0" justifyLastLine="0" shrinkToFit="0" readingOrder="0"/>
    </dxf>
    <dxf>
      <border outline="0">
        <left style="thin">
          <color theme="4"/>
        </left>
        <right style="thin">
          <color theme="4"/>
        </right>
      </border>
    </dxf>
    <dxf>
      <font>
        <strike val="0"/>
        <outline val="0"/>
        <shadow val="0"/>
        <u val="none"/>
        <vertAlign val="baseline"/>
        <sz val="10"/>
        <name val="Calibri"/>
        <scheme val="none"/>
      </font>
    </dxf>
    <dxf>
      <font>
        <strike val="0"/>
        <outline val="0"/>
        <shadow val="0"/>
        <u val="none"/>
        <vertAlign val="baseline"/>
        <sz val="10"/>
        <name val="Calibri"/>
        <scheme val="none"/>
      </font>
    </dxf>
    <dxf>
      <fill>
        <patternFill>
          <bgColor theme="0" tint="-0.14996795556505021"/>
        </patternFill>
      </fill>
    </dxf>
    <dxf>
      <font>
        <b val="0"/>
        <i val="0"/>
        <strike val="0"/>
        <condense val="0"/>
        <extend val="0"/>
        <outline val="0"/>
        <shadow val="0"/>
        <u val="none"/>
        <vertAlign val="baseline"/>
        <sz val="10"/>
        <color theme="1"/>
        <name val="Calibri"/>
        <scheme val="none"/>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indexed="8"/>
        <name val="Calibri"/>
        <scheme val="none"/>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indexed="8"/>
        <name val="Calibri"/>
        <scheme val="none"/>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1"/>
        <name val="Calibri"/>
        <scheme val="none"/>
      </font>
      <numFmt numFmtId="2" formatCode="0.00"/>
      <fill>
        <patternFill patternType="none">
          <fgColor indexed="64"/>
          <bgColor auto="1"/>
        </patternFill>
      </fill>
      <alignment horizontal="left" vertical="center" textRotation="0" wrapText="1" indent="0" justifyLastLine="0" shrinkToFit="0" readingOrder="0"/>
    </dxf>
    <dxf>
      <font>
        <strike val="0"/>
        <outline val="0"/>
        <shadow val="0"/>
        <u val="none"/>
        <vertAlign val="baseline"/>
        <sz val="10"/>
        <name val="Calibri"/>
        <scheme val="none"/>
      </font>
      <numFmt numFmtId="186" formatCode="g/&quot;標&quot;&quot;準&quot;"/>
      <fill>
        <patternFill patternType="none">
          <fgColor indexed="64"/>
          <bgColor auto="1"/>
        </patternFill>
      </fill>
    </dxf>
    <dxf>
      <font>
        <b/>
        <i val="0"/>
        <strike val="0"/>
        <condense val="0"/>
        <extend val="0"/>
        <outline val="0"/>
        <shadow val="0"/>
        <u val="none"/>
        <vertAlign val="baseline"/>
        <sz val="10"/>
        <color theme="0"/>
        <name val="Calibri"/>
        <scheme val="none"/>
      </font>
      <numFmt numFmtId="0" formatCode="General"/>
      <fill>
        <patternFill patternType="solid">
          <fgColor theme="1"/>
          <bgColor theme="1"/>
        </patternFill>
      </fill>
      <alignment horizontal="left" vertical="bottom" textRotation="0" wrapText="1" indent="0" justifyLastLine="0" shrinkToFit="0" readingOrder="0"/>
    </dxf>
  </dxfs>
  <tableStyles count="0" defaultTableStyle="TableStyleMedium2" defaultPivotStyle="PivotStyleLight16"/>
  <colors>
    <mruColors>
      <color rgb="FF00A09E"/>
      <color rgb="FF00AA99"/>
      <color rgb="FFFFFF99"/>
      <color rgb="FFFFB500"/>
      <color rgb="FFFFCC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xdr:col>
      <xdr:colOff>38100</xdr:colOff>
      <xdr:row>47</xdr:row>
      <xdr:rowOff>28575</xdr:rowOff>
    </xdr:from>
    <xdr:to>
      <xdr:col>2</xdr:col>
      <xdr:colOff>1713742</xdr:colOff>
      <xdr:row>54</xdr:row>
      <xdr:rowOff>104775</xdr:rowOff>
    </xdr:to>
    <xdr:pic>
      <xdr:nvPicPr>
        <xdr:cNvPr id="4" name="図 3"/>
        <xdr:cNvPicPr>
          <a:picLocks noChangeAspect="1"/>
        </xdr:cNvPicPr>
      </xdr:nvPicPr>
      <xdr:blipFill>
        <a:blip xmlns:r="http://schemas.openxmlformats.org/officeDocument/2006/relationships" r:embed="rId1"/>
        <a:stretch>
          <a:fillRect/>
        </a:stretch>
      </xdr:blipFill>
      <xdr:spPr>
        <a:xfrm>
          <a:off x="1285875" y="7400925"/>
          <a:ext cx="1675642" cy="1076325"/>
        </a:xfrm>
        <a:prstGeom prst="rect">
          <a:avLst/>
        </a:prstGeom>
      </xdr:spPr>
    </xdr:pic>
    <xdr:clientData/>
  </xdr:twoCellAnchor>
  <xdr:twoCellAnchor editAs="oneCell">
    <xdr:from>
      <xdr:col>2</xdr:col>
      <xdr:colOff>19050</xdr:colOff>
      <xdr:row>73</xdr:row>
      <xdr:rowOff>28575</xdr:rowOff>
    </xdr:from>
    <xdr:to>
      <xdr:col>2</xdr:col>
      <xdr:colOff>990600</xdr:colOff>
      <xdr:row>80</xdr:row>
      <xdr:rowOff>107950</xdr:rowOff>
    </xdr:to>
    <xdr:pic>
      <xdr:nvPicPr>
        <xdr:cNvPr id="7" name="図 6"/>
        <xdr:cNvPicPr>
          <a:picLocks noChangeAspect="1"/>
        </xdr:cNvPicPr>
      </xdr:nvPicPr>
      <xdr:blipFill>
        <a:blip xmlns:r="http://schemas.openxmlformats.org/officeDocument/2006/relationships" r:embed="rId2"/>
        <a:stretch>
          <a:fillRect/>
        </a:stretch>
      </xdr:blipFill>
      <xdr:spPr>
        <a:xfrm>
          <a:off x="1266825" y="10544175"/>
          <a:ext cx="971550" cy="1079500"/>
        </a:xfrm>
        <a:prstGeom prst="rect">
          <a:avLst/>
        </a:prstGeom>
      </xdr:spPr>
    </xdr:pic>
    <xdr:clientData/>
  </xdr:twoCellAnchor>
  <xdr:twoCellAnchor editAs="oneCell">
    <xdr:from>
      <xdr:col>2</xdr:col>
      <xdr:colOff>19050</xdr:colOff>
      <xdr:row>103</xdr:row>
      <xdr:rowOff>19050</xdr:rowOff>
    </xdr:from>
    <xdr:to>
      <xdr:col>2</xdr:col>
      <xdr:colOff>1028700</xdr:colOff>
      <xdr:row>111</xdr:row>
      <xdr:rowOff>42605</xdr:rowOff>
    </xdr:to>
    <xdr:pic>
      <xdr:nvPicPr>
        <xdr:cNvPr id="10" name="図 9"/>
        <xdr:cNvPicPr>
          <a:picLocks noChangeAspect="1"/>
        </xdr:cNvPicPr>
      </xdr:nvPicPr>
      <xdr:blipFill>
        <a:blip xmlns:r="http://schemas.openxmlformats.org/officeDocument/2006/relationships" r:embed="rId3"/>
        <a:stretch>
          <a:fillRect/>
        </a:stretch>
      </xdr:blipFill>
      <xdr:spPr>
        <a:xfrm>
          <a:off x="1266825" y="14249400"/>
          <a:ext cx="1009650" cy="1166555"/>
        </a:xfrm>
        <a:prstGeom prst="rect">
          <a:avLst/>
        </a:prstGeom>
      </xdr:spPr>
    </xdr:pic>
    <xdr:clientData/>
  </xdr:twoCellAnchor>
  <xdr:twoCellAnchor editAs="oneCell">
    <xdr:from>
      <xdr:col>2</xdr:col>
      <xdr:colOff>19050</xdr:colOff>
      <xdr:row>22</xdr:row>
      <xdr:rowOff>19050</xdr:rowOff>
    </xdr:from>
    <xdr:to>
      <xdr:col>2</xdr:col>
      <xdr:colOff>1133336</xdr:colOff>
      <xdr:row>24</xdr:row>
      <xdr:rowOff>114252</xdr:rowOff>
    </xdr:to>
    <xdr:pic>
      <xdr:nvPicPr>
        <xdr:cNvPr id="11" name="図 10"/>
        <xdr:cNvPicPr>
          <a:picLocks noChangeAspect="1"/>
        </xdr:cNvPicPr>
      </xdr:nvPicPr>
      <xdr:blipFill>
        <a:blip xmlns:r="http://schemas.openxmlformats.org/officeDocument/2006/relationships" r:embed="rId4"/>
        <a:stretch>
          <a:fillRect/>
        </a:stretch>
      </xdr:blipFill>
      <xdr:spPr>
        <a:xfrm>
          <a:off x="1266825" y="4276725"/>
          <a:ext cx="1114286" cy="380952"/>
        </a:xfrm>
        <a:prstGeom prst="rect">
          <a:avLst/>
        </a:prstGeom>
      </xdr:spPr>
    </xdr:pic>
    <xdr:clientData/>
  </xdr:twoCellAnchor>
  <xdr:twoCellAnchor editAs="oneCell">
    <xdr:from>
      <xdr:col>2</xdr:col>
      <xdr:colOff>66675</xdr:colOff>
      <xdr:row>27</xdr:row>
      <xdr:rowOff>65675</xdr:rowOff>
    </xdr:from>
    <xdr:to>
      <xdr:col>3</xdr:col>
      <xdr:colOff>304800</xdr:colOff>
      <xdr:row>36</xdr:row>
      <xdr:rowOff>111709</xdr:rowOff>
    </xdr:to>
    <xdr:pic>
      <xdr:nvPicPr>
        <xdr:cNvPr id="12" name="図 11"/>
        <xdr:cNvPicPr>
          <a:picLocks noChangeAspect="1"/>
        </xdr:cNvPicPr>
      </xdr:nvPicPr>
      <xdr:blipFill>
        <a:blip xmlns:r="http://schemas.openxmlformats.org/officeDocument/2006/relationships" r:embed="rId5"/>
        <a:stretch>
          <a:fillRect/>
        </a:stretch>
      </xdr:blipFill>
      <xdr:spPr>
        <a:xfrm>
          <a:off x="1314450" y="5037725"/>
          <a:ext cx="1962150" cy="1331909"/>
        </a:xfrm>
        <a:prstGeom prst="rect">
          <a:avLst/>
        </a:prstGeom>
      </xdr:spPr>
    </xdr:pic>
    <xdr:clientData/>
  </xdr:twoCellAnchor>
  <xdr:twoCellAnchor editAs="oneCell">
    <xdr:from>
      <xdr:col>2</xdr:col>
      <xdr:colOff>63737</xdr:colOff>
      <xdr:row>38</xdr:row>
      <xdr:rowOff>28576</xdr:rowOff>
    </xdr:from>
    <xdr:to>
      <xdr:col>2</xdr:col>
      <xdr:colOff>981192</xdr:colOff>
      <xdr:row>45</xdr:row>
      <xdr:rowOff>114300</xdr:rowOff>
    </xdr:to>
    <xdr:pic>
      <xdr:nvPicPr>
        <xdr:cNvPr id="13" name="図 12"/>
        <xdr:cNvPicPr>
          <a:picLocks noChangeAspect="1"/>
        </xdr:cNvPicPr>
      </xdr:nvPicPr>
      <xdr:blipFill>
        <a:blip xmlns:r="http://schemas.openxmlformats.org/officeDocument/2006/relationships" r:embed="rId6"/>
        <a:stretch>
          <a:fillRect/>
        </a:stretch>
      </xdr:blipFill>
      <xdr:spPr>
        <a:xfrm>
          <a:off x="1311512" y="6572251"/>
          <a:ext cx="917455" cy="1085849"/>
        </a:xfrm>
        <a:prstGeom prst="rect">
          <a:avLst/>
        </a:prstGeom>
      </xdr:spPr>
    </xdr:pic>
    <xdr:clientData/>
  </xdr:twoCellAnchor>
  <xdr:twoCellAnchor editAs="oneCell">
    <xdr:from>
      <xdr:col>2</xdr:col>
      <xdr:colOff>38101</xdr:colOff>
      <xdr:row>57</xdr:row>
      <xdr:rowOff>38100</xdr:rowOff>
    </xdr:from>
    <xdr:to>
      <xdr:col>5</xdr:col>
      <xdr:colOff>316738</xdr:colOff>
      <xdr:row>68</xdr:row>
      <xdr:rowOff>95250</xdr:rowOff>
    </xdr:to>
    <xdr:pic>
      <xdr:nvPicPr>
        <xdr:cNvPr id="14" name="図 13"/>
        <xdr:cNvPicPr>
          <a:picLocks noChangeAspect="1"/>
        </xdr:cNvPicPr>
      </xdr:nvPicPr>
      <xdr:blipFill>
        <a:blip xmlns:r="http://schemas.openxmlformats.org/officeDocument/2006/relationships" r:embed="rId7"/>
        <a:stretch>
          <a:fillRect/>
        </a:stretch>
      </xdr:blipFill>
      <xdr:spPr>
        <a:xfrm>
          <a:off x="1285876" y="9296400"/>
          <a:ext cx="4041012" cy="1628775"/>
        </a:xfrm>
        <a:prstGeom prst="rect">
          <a:avLst/>
        </a:prstGeom>
      </xdr:spPr>
    </xdr:pic>
    <xdr:clientData/>
  </xdr:twoCellAnchor>
  <xdr:twoCellAnchor editAs="oneCell">
    <xdr:from>
      <xdr:col>2</xdr:col>
      <xdr:colOff>28575</xdr:colOff>
      <xdr:row>87</xdr:row>
      <xdr:rowOff>28574</xdr:rowOff>
    </xdr:from>
    <xdr:to>
      <xdr:col>2</xdr:col>
      <xdr:colOff>914400</xdr:colOff>
      <xdr:row>89</xdr:row>
      <xdr:rowOff>123825</xdr:rowOff>
    </xdr:to>
    <xdr:pic>
      <xdr:nvPicPr>
        <xdr:cNvPr id="15" name="図 14"/>
        <xdr:cNvPicPr>
          <a:picLocks noChangeAspect="1"/>
        </xdr:cNvPicPr>
      </xdr:nvPicPr>
      <xdr:blipFill rotWithShape="1">
        <a:blip xmlns:r="http://schemas.openxmlformats.org/officeDocument/2006/relationships" r:embed="rId7"/>
        <a:srcRect l="3120" t="81598" r="84791" b="5501"/>
        <a:stretch/>
      </xdr:blipFill>
      <xdr:spPr>
        <a:xfrm>
          <a:off x="1276350" y="13430249"/>
          <a:ext cx="885825" cy="381001"/>
        </a:xfrm>
        <a:prstGeom prst="rect">
          <a:avLst/>
        </a:prstGeom>
      </xdr:spPr>
    </xdr:pic>
    <xdr:clientData/>
  </xdr:twoCellAnchor>
  <xdr:twoCellAnchor editAs="oneCell">
    <xdr:from>
      <xdr:col>2</xdr:col>
      <xdr:colOff>45481</xdr:colOff>
      <xdr:row>91</xdr:row>
      <xdr:rowOff>47625</xdr:rowOff>
    </xdr:from>
    <xdr:to>
      <xdr:col>5</xdr:col>
      <xdr:colOff>377165</xdr:colOff>
      <xdr:row>101</xdr:row>
      <xdr:rowOff>104774</xdr:rowOff>
    </xdr:to>
    <xdr:pic>
      <xdr:nvPicPr>
        <xdr:cNvPr id="16" name="図 15"/>
        <xdr:cNvPicPr>
          <a:picLocks noChangeAspect="1"/>
        </xdr:cNvPicPr>
      </xdr:nvPicPr>
      <xdr:blipFill>
        <a:blip xmlns:r="http://schemas.openxmlformats.org/officeDocument/2006/relationships" r:embed="rId8"/>
        <a:stretch>
          <a:fillRect/>
        </a:stretch>
      </xdr:blipFill>
      <xdr:spPr>
        <a:xfrm>
          <a:off x="1293256" y="14020800"/>
          <a:ext cx="4094059" cy="1485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16383</xdr:col>
      <xdr:colOff>0</xdr:colOff>
      <xdr:row>1048575</xdr:row>
      <xdr:rowOff>0</xdr:rowOff>
    </xdr:to>
    <xdr:pic>
      <xdr:nvPicPr>
        <xdr:cNvPr id="30" name="図 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5400675" cy="396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47625</xdr:colOff>
      <xdr:row>2</xdr:row>
      <xdr:rowOff>19050</xdr:rowOff>
    </xdr:from>
    <xdr:to>
      <xdr:col>1</xdr:col>
      <xdr:colOff>47625</xdr:colOff>
      <xdr:row>19</xdr:row>
      <xdr:rowOff>28575</xdr:rowOff>
    </xdr:to>
    <xdr:pic>
      <xdr:nvPicPr>
        <xdr:cNvPr id="2" name="図 1"/>
        <xdr:cNvPicPr>
          <a:picLocks noChangeAspect="1"/>
        </xdr:cNvPicPr>
      </xdr:nvPicPr>
      <xdr:blipFill>
        <a:blip xmlns:r="http://schemas.openxmlformats.org/officeDocument/2006/relationships" r:embed="rId2"/>
        <a:stretch>
          <a:fillRect/>
        </a:stretch>
      </xdr:blipFill>
      <xdr:spPr>
        <a:xfrm rot="10800000">
          <a:off x="161925" y="276225"/>
          <a:ext cx="0" cy="2667000"/>
        </a:xfrm>
        <a:prstGeom prst="rect">
          <a:avLst/>
        </a:prstGeom>
        <a:noFill/>
      </xdr:spPr>
    </xdr:pic>
    <xdr:clientData/>
  </xdr:twoCellAnchor>
  <xdr:twoCellAnchor>
    <xdr:from>
      <xdr:col>5</xdr:col>
      <xdr:colOff>219074</xdr:colOff>
      <xdr:row>0</xdr:row>
      <xdr:rowOff>103506</xdr:rowOff>
    </xdr:from>
    <xdr:to>
      <xdr:col>6</xdr:col>
      <xdr:colOff>570899</xdr:colOff>
      <xdr:row>2</xdr:row>
      <xdr:rowOff>57150</xdr:rowOff>
    </xdr:to>
    <xdr:sp macro="[0]!Sheet2.showMyProfile" textlink="">
      <xdr:nvSpPr>
        <xdr:cNvPr id="6" name="テキスト ボックス 5"/>
        <xdr:cNvSpPr txBox="1"/>
      </xdr:nvSpPr>
      <xdr:spPr>
        <a:xfrm>
          <a:off x="3219449" y="103506"/>
          <a:ext cx="951900" cy="258444"/>
        </a:xfrm>
        <a:prstGeom prst="rect">
          <a:avLst/>
        </a:prstGeom>
        <a:solidFill>
          <a:schemeClr val="accent6">
            <a:lumMod val="75000"/>
          </a:schemeClr>
        </a:solidFill>
        <a:ln w="28575">
          <a:solidFill>
            <a:schemeClr val="bg1"/>
          </a:solidFill>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pPr algn="ctr"/>
          <a:r>
            <a:rPr kumimoji="1" lang="en-US" altLang="ja-JP" sz="1000" b="1">
              <a:solidFill>
                <a:schemeClr val="bg1"/>
              </a:solidFill>
              <a:latin typeface="+mn-lt"/>
            </a:rPr>
            <a:t>myProfile</a:t>
          </a:r>
          <a:endParaRPr kumimoji="1" lang="ja-JP" altLang="en-US" sz="1000" b="1">
            <a:solidFill>
              <a:schemeClr val="bg1"/>
            </a:solidFill>
            <a:latin typeface="+mn-lt"/>
          </a:endParaRPr>
        </a:p>
      </xdr:txBody>
    </xdr:sp>
    <xdr:clientData/>
  </xdr:twoCellAnchor>
  <xdr:twoCellAnchor>
    <xdr:from>
      <xdr:col>7</xdr:col>
      <xdr:colOff>85724</xdr:colOff>
      <xdr:row>23</xdr:row>
      <xdr:rowOff>55881</xdr:rowOff>
    </xdr:from>
    <xdr:to>
      <xdr:col>8</xdr:col>
      <xdr:colOff>475649</xdr:colOff>
      <xdr:row>25</xdr:row>
      <xdr:rowOff>9525</xdr:rowOff>
    </xdr:to>
    <xdr:sp macro="" textlink="">
      <xdr:nvSpPr>
        <xdr:cNvPr id="8" name="テキスト ボックス 7"/>
        <xdr:cNvSpPr txBox="1"/>
      </xdr:nvSpPr>
      <xdr:spPr>
        <a:xfrm>
          <a:off x="4286249" y="3408681"/>
          <a:ext cx="990000" cy="258444"/>
        </a:xfrm>
        <a:prstGeom prst="rect">
          <a:avLst/>
        </a:prstGeom>
        <a:solidFill>
          <a:srgbClr val="0070C0"/>
        </a:solidFill>
        <a:ln w="28575"/>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pPr algn="ctr"/>
          <a:endParaRPr kumimoji="1" lang="ja-JP" altLang="en-US" sz="1000" b="1">
            <a:solidFill>
              <a:schemeClr val="bg1"/>
            </a:solidFill>
            <a:latin typeface="+mn-lt"/>
          </a:endParaRPr>
        </a:p>
      </xdr:txBody>
    </xdr:sp>
    <xdr:clientData/>
  </xdr:twoCellAnchor>
  <xdr:twoCellAnchor>
    <xdr:from>
      <xdr:col>7</xdr:col>
      <xdr:colOff>76198</xdr:colOff>
      <xdr:row>0</xdr:row>
      <xdr:rowOff>103506</xdr:rowOff>
    </xdr:from>
    <xdr:to>
      <xdr:col>8</xdr:col>
      <xdr:colOff>466123</xdr:colOff>
      <xdr:row>2</xdr:row>
      <xdr:rowOff>57906</xdr:rowOff>
    </xdr:to>
    <xdr:sp macro="[0]!Sheet2.timeStart" textlink="">
      <xdr:nvSpPr>
        <xdr:cNvPr id="3" name="テキスト ボックス 2"/>
        <xdr:cNvSpPr txBox="1"/>
      </xdr:nvSpPr>
      <xdr:spPr>
        <a:xfrm>
          <a:off x="4276723" y="103506"/>
          <a:ext cx="990000" cy="259200"/>
        </a:xfrm>
        <a:prstGeom prst="rect">
          <a:avLst/>
        </a:prstGeom>
        <a:solidFill>
          <a:srgbClr val="00A09E"/>
        </a:solidFill>
        <a:ln w="28575"/>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pPr algn="l"/>
          <a:r>
            <a:rPr kumimoji="1" lang="en-US" altLang="ja-JP" sz="1000" b="1">
              <a:solidFill>
                <a:schemeClr val="bg1"/>
              </a:solidFill>
              <a:latin typeface="+mn-lt"/>
            </a:rPr>
            <a:t>myTimeKeeper</a:t>
          </a:r>
          <a:endParaRPr kumimoji="1" lang="ja-JP" altLang="en-US" sz="1000" b="1">
            <a:solidFill>
              <a:schemeClr val="bg1"/>
            </a:solidFill>
            <a:latin typeface="+mn-lt"/>
          </a:endParaRPr>
        </a:p>
      </xdr:txBody>
    </xdr:sp>
    <xdr:clientData/>
  </xdr:twoCellAnchor>
  <xdr:twoCellAnchor>
    <xdr:from>
      <xdr:col>0</xdr:col>
      <xdr:colOff>123825</xdr:colOff>
      <xdr:row>0</xdr:row>
      <xdr:rowOff>103506</xdr:rowOff>
    </xdr:from>
    <xdr:to>
      <xdr:col>3</xdr:col>
      <xdr:colOff>85725</xdr:colOff>
      <xdr:row>2</xdr:row>
      <xdr:rowOff>57150</xdr:rowOff>
    </xdr:to>
    <xdr:sp macro="" textlink="">
      <xdr:nvSpPr>
        <xdr:cNvPr id="15" name="テキスト ボックス 14"/>
        <xdr:cNvSpPr txBox="1"/>
      </xdr:nvSpPr>
      <xdr:spPr>
        <a:xfrm>
          <a:off x="123825" y="103506"/>
          <a:ext cx="1762125" cy="258444"/>
        </a:xfrm>
        <a:prstGeom prst="rect">
          <a:avLst/>
        </a:prstGeom>
        <a:solidFill>
          <a:schemeClr val="tx1">
            <a:lumMod val="65000"/>
            <a:lumOff val="35000"/>
          </a:schemeClr>
        </a:solidFill>
        <a:ln w="28575">
          <a:solidFill>
            <a:schemeClr val="bg1"/>
          </a:solidFill>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pPr algn="ctr"/>
          <a:r>
            <a:rPr kumimoji="1" lang="en-US" altLang="ja-JP" sz="1000" b="1">
              <a:solidFill>
                <a:schemeClr val="bg1"/>
              </a:solidFill>
              <a:latin typeface="+mn-lt"/>
            </a:rPr>
            <a:t>EMPLOYEE SELF-SERVICE HUB</a:t>
          </a:r>
          <a:endParaRPr kumimoji="1" lang="ja-JP" altLang="en-US" sz="1000" b="1">
            <a:solidFill>
              <a:schemeClr val="bg1"/>
            </a:solidFill>
            <a:latin typeface="+mn-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gine/Outputs%20for%20KAIZEN/PMO/Tools/myTimeKeeper_v0.6.BE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sheetName val="ReadMe"/>
      <sheetName val="myTimeKeeper"/>
      <sheetName val="Resource"/>
      <sheetName val="Report"/>
    </sheetNames>
    <sheetDataSet>
      <sheetData sheetId="0" refreshError="1"/>
      <sheetData sheetId="1" refreshError="1"/>
      <sheetData sheetId="2" refreshError="1"/>
      <sheetData sheetId="3">
        <row r="2">
          <cell r="A2" t="str">
            <v>Abalos, Mark Jason D.</v>
          </cell>
          <cell r="B2">
            <v>111171</v>
          </cell>
        </row>
        <row r="3">
          <cell r="A3" t="str">
            <v>Abiera Jr., William M.</v>
          </cell>
          <cell r="B3">
            <v>111452</v>
          </cell>
        </row>
        <row r="4">
          <cell r="A4" t="str">
            <v>Aclan, Bryan Anthony M.</v>
          </cell>
          <cell r="B4">
            <v>110653</v>
          </cell>
        </row>
        <row r="5">
          <cell r="A5" t="str">
            <v>Albos, Maria Mahonri A.</v>
          </cell>
          <cell r="B5">
            <v>111137</v>
          </cell>
        </row>
        <row r="6">
          <cell r="A6" t="str">
            <v>Alegre, Mary Christine T.</v>
          </cell>
          <cell r="B6">
            <v>110541</v>
          </cell>
        </row>
        <row r="7">
          <cell r="A7" t="str">
            <v>Alinea, Krishza Emille D.</v>
          </cell>
          <cell r="B7">
            <v>111700</v>
          </cell>
        </row>
        <row r="8">
          <cell r="A8" t="str">
            <v>Andres, Bryan Paolo P.</v>
          </cell>
          <cell r="B8">
            <v>111531</v>
          </cell>
        </row>
        <row r="9">
          <cell r="A9" t="str">
            <v>Anyayahan, Krissa D.</v>
          </cell>
          <cell r="B9">
            <v>111698</v>
          </cell>
        </row>
        <row r="10">
          <cell r="A10" t="str">
            <v>Aprid, Ana Nicole A.</v>
          </cell>
          <cell r="B10">
            <v>111621</v>
          </cell>
        </row>
        <row r="11">
          <cell r="A11" t="str">
            <v>Arbis, Lysander B.</v>
          </cell>
          <cell r="B11">
            <v>111081</v>
          </cell>
        </row>
        <row r="12">
          <cell r="A12" t="str">
            <v>Aurellano, Sonny S.</v>
          </cell>
          <cell r="B12">
            <v>110192</v>
          </cell>
        </row>
        <row r="13">
          <cell r="A13" t="str">
            <v>Bacani, Lester L.</v>
          </cell>
          <cell r="B13">
            <v>110383</v>
          </cell>
        </row>
        <row r="14">
          <cell r="A14" t="str">
            <v>Bajamundi, Julie Ann P.</v>
          </cell>
          <cell r="B14">
            <v>110844</v>
          </cell>
        </row>
        <row r="15">
          <cell r="A15" t="str">
            <v>Balaguer, Beryl Joy P.</v>
          </cell>
          <cell r="B15">
            <v>110675</v>
          </cell>
        </row>
        <row r="16">
          <cell r="A16" t="str">
            <v>Baldueza, Cheska Deniese S.</v>
          </cell>
          <cell r="B16">
            <v>110338</v>
          </cell>
        </row>
        <row r="17">
          <cell r="A17" t="str">
            <v>Barraba, Cristopher G.</v>
          </cell>
          <cell r="B17">
            <v>110091</v>
          </cell>
        </row>
        <row r="18">
          <cell r="A18" t="str">
            <v>Barrantes, Edward C.</v>
          </cell>
          <cell r="B18">
            <v>110765</v>
          </cell>
        </row>
        <row r="19">
          <cell r="A19" t="str">
            <v>Basiya, Michal Gabriel P.</v>
          </cell>
          <cell r="B19">
            <v>111160</v>
          </cell>
        </row>
        <row r="20">
          <cell r="A20" t="str">
            <v>Battung, Jaan Amaley B.</v>
          </cell>
          <cell r="B20">
            <v>110855</v>
          </cell>
        </row>
        <row r="21">
          <cell r="A21" t="str">
            <v>Bautista, Joan O.</v>
          </cell>
          <cell r="B21">
            <v>110440</v>
          </cell>
        </row>
        <row r="22">
          <cell r="A22" t="str">
            <v>Bayan, Brian Z.</v>
          </cell>
          <cell r="B22">
            <v>110406</v>
          </cell>
        </row>
        <row r="23">
          <cell r="A23" t="str">
            <v>Beleno, Orah Vita L.</v>
          </cell>
          <cell r="B23">
            <v>111238</v>
          </cell>
        </row>
        <row r="24">
          <cell r="A24" t="str">
            <v>Belnas, Rygel Vernon O.</v>
          </cell>
          <cell r="B24">
            <v>111294</v>
          </cell>
        </row>
        <row r="25">
          <cell r="A25" t="str">
            <v>Bermas, Kim M.</v>
          </cell>
          <cell r="B25">
            <v>111036</v>
          </cell>
        </row>
        <row r="26">
          <cell r="A26" t="str">
            <v>Bermudez, Paul Genesis</v>
          </cell>
          <cell r="B26">
            <v>111249</v>
          </cell>
        </row>
        <row r="27">
          <cell r="A27" t="str">
            <v>Bernabe, Katherine G.</v>
          </cell>
          <cell r="B27">
            <v>111047</v>
          </cell>
        </row>
        <row r="28">
          <cell r="A28" t="str">
            <v>Bojo, Michelle P.</v>
          </cell>
          <cell r="B28">
            <v>111148</v>
          </cell>
        </row>
        <row r="29">
          <cell r="A29" t="str">
            <v>Buenaseda, Martin Nikko L.</v>
          </cell>
          <cell r="B29">
            <v>111205</v>
          </cell>
        </row>
        <row r="30">
          <cell r="A30" t="str">
            <v>Buenaventura, Sidney</v>
          </cell>
          <cell r="B30">
            <v>111384</v>
          </cell>
        </row>
        <row r="31">
          <cell r="A31" t="str">
            <v>Buergo, Michelle C.</v>
          </cell>
          <cell r="B31">
            <v>110394</v>
          </cell>
        </row>
        <row r="32">
          <cell r="A32" t="str">
            <v>Bulatao, Ma. Diane O.</v>
          </cell>
          <cell r="B32">
            <v>110721</v>
          </cell>
        </row>
        <row r="33">
          <cell r="A33" t="str">
            <v>Caceres, Jasmine A.</v>
          </cell>
          <cell r="B33">
            <v>110866</v>
          </cell>
        </row>
        <row r="34">
          <cell r="A34" t="str">
            <v>Calub, Jake D.</v>
          </cell>
          <cell r="B34">
            <v>110877</v>
          </cell>
        </row>
        <row r="35">
          <cell r="A35" t="str">
            <v>Camaso, Arjay F.</v>
          </cell>
          <cell r="B35">
            <v>110068</v>
          </cell>
        </row>
        <row r="36">
          <cell r="A36" t="str">
            <v>Canete II, Manuel L.</v>
          </cell>
          <cell r="B36">
            <v>111687</v>
          </cell>
        </row>
        <row r="37">
          <cell r="A37" t="str">
            <v>Cartalla, Rexell L.</v>
          </cell>
          <cell r="B37">
            <v>111306</v>
          </cell>
        </row>
        <row r="38">
          <cell r="A38" t="str">
            <v>Casim, Cheinille L.</v>
          </cell>
          <cell r="B38">
            <v>110697</v>
          </cell>
        </row>
        <row r="39">
          <cell r="A39" t="str">
            <v>Castañeda, Djenna Coleen S.</v>
          </cell>
          <cell r="B39">
            <v>110271</v>
          </cell>
        </row>
        <row r="40">
          <cell r="A40" t="str">
            <v>Cestina, Cyrene Joyce</v>
          </cell>
          <cell r="B40">
            <v>111676</v>
          </cell>
        </row>
        <row r="41">
          <cell r="A41" t="str">
            <v>Cledera, Ana Jeni Kay O.</v>
          </cell>
          <cell r="B41">
            <v>110079</v>
          </cell>
        </row>
        <row r="42">
          <cell r="A42" t="str">
            <v>Clemente, Adora Q.</v>
          </cell>
          <cell r="B42">
            <v>110147</v>
          </cell>
        </row>
        <row r="43">
          <cell r="A43" t="str">
            <v>Cordial, Conie Marian S.</v>
          </cell>
          <cell r="B43">
            <v>110248</v>
          </cell>
        </row>
        <row r="44">
          <cell r="A44" t="str">
            <v>Cruz, Brigida S.</v>
          </cell>
          <cell r="B44">
            <v>110664</v>
          </cell>
        </row>
        <row r="45">
          <cell r="A45" t="str">
            <v>Cube, Eunice D.</v>
          </cell>
          <cell r="B45">
            <v>111609</v>
          </cell>
        </row>
        <row r="46">
          <cell r="A46" t="str">
            <v>De Juan, Mariel Danica B.</v>
          </cell>
          <cell r="B46">
            <v>110585</v>
          </cell>
        </row>
        <row r="47">
          <cell r="A47" t="str">
            <v>De Leon, Richard Alfred M.</v>
          </cell>
          <cell r="B47">
            <v>110529</v>
          </cell>
        </row>
        <row r="48">
          <cell r="A48" t="str">
            <v>De Villa, Germaine T.</v>
          </cell>
          <cell r="B48">
            <v>110787</v>
          </cell>
        </row>
        <row r="49">
          <cell r="A49" t="str">
            <v>Decolongon, Roden M.</v>
          </cell>
          <cell r="B49">
            <v>111317</v>
          </cell>
        </row>
        <row r="50">
          <cell r="A50" t="str">
            <v>Dedumo, Paul Ryan A.</v>
          </cell>
          <cell r="B50">
            <v>111610</v>
          </cell>
        </row>
        <row r="51">
          <cell r="A51" t="str">
            <v>Dela Cruz, Aron R.</v>
          </cell>
          <cell r="B51">
            <v>110518</v>
          </cell>
        </row>
        <row r="52">
          <cell r="A52" t="str">
            <v>Dela Cruz, Nikole S.</v>
          </cell>
          <cell r="B52">
            <v>111227</v>
          </cell>
        </row>
        <row r="53">
          <cell r="A53" t="str">
            <v>Dicon, Hannah Camelle M.</v>
          </cell>
          <cell r="B53">
            <v>110800</v>
          </cell>
        </row>
        <row r="54">
          <cell r="A54" t="str">
            <v>Dimaculangan, Romar N.</v>
          </cell>
          <cell r="B54">
            <v>110462</v>
          </cell>
        </row>
        <row r="55">
          <cell r="A55" t="str">
            <v>Dingding, Rujie Ann L.</v>
          </cell>
          <cell r="B55">
            <v>111283</v>
          </cell>
        </row>
        <row r="56">
          <cell r="A56" t="str">
            <v>Domingo, Ted Josiah S.</v>
          </cell>
          <cell r="B56">
            <v>111429</v>
          </cell>
        </row>
        <row r="57">
          <cell r="A57" t="str">
            <v>Duria, Sarah Mae O.</v>
          </cell>
          <cell r="B57">
            <v>111418</v>
          </cell>
        </row>
        <row r="58">
          <cell r="A58" t="str">
            <v>Eisma, Ellen Rose R.</v>
          </cell>
          <cell r="B58">
            <v>110170</v>
          </cell>
        </row>
        <row r="59">
          <cell r="A59" t="str">
            <v>Enriquez, Jan Michael U.</v>
          </cell>
          <cell r="B59">
            <v>110912</v>
          </cell>
        </row>
        <row r="60">
          <cell r="A60" t="str">
            <v>Espina, Emmanuel M.</v>
          </cell>
          <cell r="B60">
            <v>111564</v>
          </cell>
        </row>
        <row r="61">
          <cell r="A61" t="str">
            <v>Estaña, John Paul C.</v>
          </cell>
          <cell r="B61">
            <v>110956</v>
          </cell>
        </row>
        <row r="62">
          <cell r="A62" t="str">
            <v>Fernandez, Patricia Mari C.</v>
          </cell>
          <cell r="B62">
            <v>111597</v>
          </cell>
        </row>
        <row r="63">
          <cell r="A63" t="str">
            <v>Flores, Mary John M.</v>
          </cell>
          <cell r="B63">
            <v>111182</v>
          </cell>
        </row>
        <row r="64">
          <cell r="A64" t="str">
            <v>Flores, Rachelle I.</v>
          </cell>
          <cell r="B64">
            <v>111632</v>
          </cell>
        </row>
        <row r="65">
          <cell r="A65" t="str">
            <v>Fontanilla, Kirby A.</v>
          </cell>
          <cell r="B65">
            <v>111586</v>
          </cell>
        </row>
        <row r="66">
          <cell r="A66" t="str">
            <v>Francisco Jr., Rolando G.</v>
          </cell>
          <cell r="B66">
            <v>111328</v>
          </cell>
        </row>
        <row r="67">
          <cell r="A67" t="str">
            <v>Fujita, Maria Theresa</v>
          </cell>
          <cell r="B67">
            <v>111711</v>
          </cell>
        </row>
        <row r="68">
          <cell r="A68" t="str">
            <v>Gabrang, Michael O.</v>
          </cell>
          <cell r="B68">
            <v>111159</v>
          </cell>
        </row>
        <row r="69">
          <cell r="A69" t="str">
            <v>Gabriel, Genevieve Jilleane J.</v>
          </cell>
          <cell r="B69">
            <v>110798</v>
          </cell>
        </row>
        <row r="70">
          <cell r="A70" t="str">
            <v>Gallarte, Jian Paul D.</v>
          </cell>
          <cell r="B70">
            <v>110967</v>
          </cell>
        </row>
        <row r="71">
          <cell r="A71" t="str">
            <v>Garcia, John Christopher M.</v>
          </cell>
          <cell r="B71">
            <v>110114</v>
          </cell>
        </row>
        <row r="72">
          <cell r="A72" t="str">
            <v>Gavino, Robert Bryan P.</v>
          </cell>
          <cell r="B72">
            <v>111665</v>
          </cell>
        </row>
        <row r="73">
          <cell r="A73" t="str">
            <v>Gonzales, Daxz Jude F.</v>
          </cell>
          <cell r="B73">
            <v>110743</v>
          </cell>
        </row>
        <row r="74">
          <cell r="A74" t="str">
            <v>Gonzales, Kristopher Ryan T.</v>
          </cell>
          <cell r="B74">
            <v>110215</v>
          </cell>
        </row>
        <row r="75">
          <cell r="A75" t="str">
            <v>Guanzon, Margilyn S.</v>
          </cell>
          <cell r="B75">
            <v>110293</v>
          </cell>
        </row>
        <row r="76">
          <cell r="A76" t="str">
            <v>Guinto, Peter John F.</v>
          </cell>
          <cell r="B76">
            <v>111250</v>
          </cell>
        </row>
        <row r="77">
          <cell r="A77" t="str">
            <v>Halamani, Maria Leonora C.</v>
          </cell>
          <cell r="B77">
            <v>110204</v>
          </cell>
        </row>
        <row r="78">
          <cell r="A78" t="str">
            <v>Hanopol, Jose Mari B.</v>
          </cell>
          <cell r="B78">
            <v>110923</v>
          </cell>
        </row>
        <row r="79">
          <cell r="A79" t="str">
            <v>Hernandez, Ciaron John B.</v>
          </cell>
          <cell r="B79">
            <v>111485</v>
          </cell>
        </row>
        <row r="80">
          <cell r="A80" t="str">
            <v>Laureano, Kristine Mae T.</v>
          </cell>
          <cell r="B80">
            <v>111058</v>
          </cell>
        </row>
        <row r="81">
          <cell r="A81" t="str">
            <v>Laurel, Herschell A.</v>
          </cell>
          <cell r="B81">
            <v>110811</v>
          </cell>
        </row>
        <row r="82">
          <cell r="A82" t="str">
            <v>Lee, Timothy John M.</v>
          </cell>
          <cell r="B82">
            <v>110125</v>
          </cell>
        </row>
        <row r="83">
          <cell r="A83" t="str">
            <v>Lim, Jonathan D.</v>
          </cell>
          <cell r="B83">
            <v>110305</v>
          </cell>
        </row>
        <row r="84">
          <cell r="A84" t="str">
            <v>Lingat, Alvin T.</v>
          </cell>
          <cell r="B84">
            <v>110563</v>
          </cell>
        </row>
        <row r="85">
          <cell r="A85" t="str">
            <v>Logan, Aldrich A. M.</v>
          </cell>
          <cell r="B85">
            <v>110596</v>
          </cell>
        </row>
        <row r="86">
          <cell r="A86" t="str">
            <v>Lopez, Jose Christian E.</v>
          </cell>
          <cell r="B86">
            <v>110901</v>
          </cell>
        </row>
        <row r="87">
          <cell r="A87" t="str">
            <v>Maca, Maribeth R.</v>
          </cell>
          <cell r="B87">
            <v>111193</v>
          </cell>
        </row>
        <row r="88">
          <cell r="A88" t="str">
            <v>Maclang, Marjorie R.</v>
          </cell>
          <cell r="B88">
            <v>110259</v>
          </cell>
        </row>
        <row r="89">
          <cell r="A89" t="str">
            <v>Magdadaro, Ma. Lourdes P.</v>
          </cell>
          <cell r="B89">
            <v>110057</v>
          </cell>
        </row>
        <row r="90">
          <cell r="A90" t="str">
            <v>Magdaong, Windel C.</v>
          </cell>
          <cell r="B90">
            <v>111463</v>
          </cell>
        </row>
        <row r="91">
          <cell r="A91" t="str">
            <v>Malapitan, Ronalyn M.</v>
          </cell>
          <cell r="B91">
            <v>110169</v>
          </cell>
        </row>
        <row r="92">
          <cell r="A92" t="str">
            <v>Maramis, Christopher S.</v>
          </cell>
          <cell r="B92">
            <v>111553</v>
          </cell>
        </row>
        <row r="93">
          <cell r="A93" t="str">
            <v>Mariano, Christie</v>
          </cell>
          <cell r="B93">
            <v>110709</v>
          </cell>
        </row>
        <row r="94">
          <cell r="A94" t="str">
            <v>Mendiola, Katrina Camille L.</v>
          </cell>
          <cell r="B94">
            <v>111575</v>
          </cell>
        </row>
        <row r="95">
          <cell r="A95" t="str">
            <v>Mortera, Michaela A.</v>
          </cell>
          <cell r="B95">
            <v>110158</v>
          </cell>
        </row>
        <row r="96">
          <cell r="A96" t="str">
            <v>Musni, Jane Madelane A.</v>
          </cell>
          <cell r="B96">
            <v>110934</v>
          </cell>
        </row>
        <row r="97">
          <cell r="A97" t="str">
            <v>Naco, Ian Christopher C.</v>
          </cell>
          <cell r="B97">
            <v>110822</v>
          </cell>
        </row>
        <row r="98">
          <cell r="A98" t="str">
            <v>Navarro, James Mervin V.</v>
          </cell>
          <cell r="B98">
            <v>110046</v>
          </cell>
        </row>
        <row r="99">
          <cell r="A99" t="str">
            <v>Obsequio, Ahmed I.</v>
          </cell>
          <cell r="B99">
            <v>110619</v>
          </cell>
        </row>
        <row r="100">
          <cell r="A100" t="str">
            <v>Ocampo, Charito R.</v>
          </cell>
          <cell r="B100">
            <v>111542</v>
          </cell>
        </row>
        <row r="101">
          <cell r="A101" t="str">
            <v>Orozo, Lovely Rose D.</v>
          </cell>
          <cell r="B101">
            <v>111092</v>
          </cell>
        </row>
        <row r="102">
          <cell r="A102" t="str">
            <v>Pascual, Ragee Joy C.</v>
          </cell>
          <cell r="B102">
            <v>111519</v>
          </cell>
        </row>
        <row r="103">
          <cell r="A103" t="str">
            <v>Penafiel, Gamaliel Micah T.</v>
          </cell>
          <cell r="B103">
            <v>110226</v>
          </cell>
        </row>
        <row r="104">
          <cell r="A104" t="str">
            <v>Plaza, Mary Chrystille C.</v>
          </cell>
          <cell r="B104">
            <v>110349</v>
          </cell>
        </row>
        <row r="105">
          <cell r="A105" t="str">
            <v>Riego, Paul Albert V.</v>
          </cell>
          <cell r="B105">
            <v>111261</v>
          </cell>
        </row>
        <row r="106">
          <cell r="A106" t="str">
            <v>Roldan, Jherremy Ivan M.</v>
          </cell>
          <cell r="B106">
            <v>110978</v>
          </cell>
        </row>
        <row r="107">
          <cell r="A107" t="str">
            <v>Sacrez, Patricia Ann J.</v>
          </cell>
          <cell r="B107">
            <v>111272</v>
          </cell>
        </row>
        <row r="108">
          <cell r="A108" t="str">
            <v>Salinas, Alvin Jan G.</v>
          </cell>
          <cell r="B108">
            <v>110620</v>
          </cell>
        </row>
        <row r="109">
          <cell r="A109" t="str">
            <v>San Pedro Jr., Irwin M.</v>
          </cell>
          <cell r="B109">
            <v>111508</v>
          </cell>
        </row>
        <row r="110">
          <cell r="A110" t="str">
            <v>Santos, Faith Ann S.</v>
          </cell>
          <cell r="B110">
            <v>110484</v>
          </cell>
        </row>
        <row r="111">
          <cell r="A111" t="str">
            <v>Sarmiento, Annalyn R.</v>
          </cell>
          <cell r="B111">
            <v>110631</v>
          </cell>
        </row>
        <row r="112">
          <cell r="A112" t="str">
            <v>Sebastian, Phoebe Gail M.</v>
          </cell>
          <cell r="B112">
            <v>110495</v>
          </cell>
        </row>
        <row r="113">
          <cell r="A113" t="str">
            <v>Siason, Rolf John S.</v>
          </cell>
          <cell r="B113">
            <v>110080</v>
          </cell>
        </row>
        <row r="114">
          <cell r="A114" t="str">
            <v>Soleybar, Almond N.</v>
          </cell>
          <cell r="B114">
            <v>110642</v>
          </cell>
        </row>
        <row r="115">
          <cell r="A115" t="str">
            <v>Soriano, John Keith M.</v>
          </cell>
          <cell r="B115">
            <v>110899</v>
          </cell>
        </row>
        <row r="116">
          <cell r="A116" t="str">
            <v>Subala, Arlyn May B.</v>
          </cell>
          <cell r="B116">
            <v>111654</v>
          </cell>
        </row>
        <row r="117">
          <cell r="A117" t="str">
            <v>Sy, Mark Niel P.</v>
          </cell>
          <cell r="B117">
            <v>110316</v>
          </cell>
        </row>
        <row r="118">
          <cell r="A118" t="str">
            <v>Tacata, Ernie John B.</v>
          </cell>
          <cell r="B118">
            <v>110776</v>
          </cell>
        </row>
        <row r="119">
          <cell r="A119" t="str">
            <v>Tangtatco, Patrick M.</v>
          </cell>
          <cell r="B119">
            <v>110350</v>
          </cell>
        </row>
        <row r="120">
          <cell r="A120" t="str">
            <v>Templo, Ivan Rey M.</v>
          </cell>
          <cell r="B120">
            <v>110507</v>
          </cell>
        </row>
        <row r="121">
          <cell r="A121" t="str">
            <v>Torres, Keith John D.</v>
          </cell>
          <cell r="B121">
            <v>111070</v>
          </cell>
        </row>
        <row r="122">
          <cell r="A122" t="str">
            <v>Torres, Victor Marvin M.</v>
          </cell>
          <cell r="B122">
            <v>111441</v>
          </cell>
        </row>
        <row r="123">
          <cell r="A123" t="str">
            <v>Umipig, Ralfh Kenneth A.</v>
          </cell>
          <cell r="B123">
            <v>110282</v>
          </cell>
        </row>
        <row r="124">
          <cell r="A124" t="str">
            <v>Vergara, Leonard L.</v>
          </cell>
          <cell r="B124">
            <v>111126</v>
          </cell>
        </row>
        <row r="125">
          <cell r="A125" t="str">
            <v>Vida, Bernadette B.</v>
          </cell>
          <cell r="B125">
            <v>111643</v>
          </cell>
        </row>
        <row r="126">
          <cell r="A126" t="str">
            <v>Vilaviza, Paulo C.</v>
          </cell>
          <cell r="B126">
            <v>110013</v>
          </cell>
        </row>
        <row r="127">
          <cell r="A127" t="str">
            <v>Villasin, Jefferro F.</v>
          </cell>
          <cell r="B127">
            <v>111003</v>
          </cell>
        </row>
        <row r="128">
          <cell r="A128" t="str">
            <v>Yao, Dannison Heinrich O.</v>
          </cell>
          <cell r="B128">
            <v>110754</v>
          </cell>
        </row>
        <row r="129">
          <cell r="A129" t="str">
            <v>Yap, Bernard F.</v>
          </cell>
          <cell r="B129">
            <v>111496</v>
          </cell>
        </row>
        <row r="130">
          <cell r="A130" t="str">
            <v>Yu, Jhayrone A.</v>
          </cell>
          <cell r="B130">
            <v>110260</v>
          </cell>
        </row>
        <row r="131">
          <cell r="A131" t="str">
            <v>Yumul, John Michael S.</v>
          </cell>
          <cell r="B131">
            <v>110945</v>
          </cell>
        </row>
        <row r="132">
          <cell r="A132" t="str">
            <v>Yuzo, Kawano</v>
          </cell>
          <cell r="B132">
            <v>111474</v>
          </cell>
        </row>
        <row r="133">
          <cell r="A133" t="str">
            <v>Zafra, Jazmine M.</v>
          </cell>
          <cell r="B133">
            <v>111014</v>
          </cell>
        </row>
        <row r="134">
          <cell r="A134" t="str">
            <v>Zubieta, Ivan Christmer D.</v>
          </cell>
          <cell r="B134">
            <v>110833</v>
          </cell>
        </row>
      </sheetData>
      <sheetData sheetId="4" refreshError="1"/>
    </sheetDataSet>
  </externalBook>
</externalLink>
</file>

<file path=xl/tables/table1.xml><?xml version="1.0" encoding="utf-8"?>
<table xmlns="http://schemas.openxmlformats.org/spreadsheetml/2006/main" id="1" name="テーブル1" displayName="テーブル1" ref="B3:E18" totalsRowShown="0" headerRowDxfId="22" dataDxfId="21" headerRowCellStyle="標準 2 2 11">
  <autoFilter ref="B3:E18"/>
  <tableColumns count="4">
    <tableColumn id="1" name="Version No. " dataDxfId="20" dataCellStyle="標準 2 2 11"/>
    <tableColumn id="2" name="Content Update" dataDxfId="19" dataCellStyle="標準 2 2 11"/>
    <tableColumn id="3" name="Remarks" dataDxfId="18" dataCellStyle="標準 2 2 11"/>
    <tableColumn id="4" name="Approved By" dataDxfId="17" dataCellStyle="標準 2 2 11"/>
  </tableColumns>
  <tableStyleInfo name="TableStyleLight1" showFirstColumn="0" showLastColumn="0" showRowStripes="1" showColumnStripes="0"/>
</table>
</file>

<file path=xl/tables/table2.xml><?xml version="1.0" encoding="utf-8"?>
<table xmlns="http://schemas.openxmlformats.org/spreadsheetml/2006/main" id="3" name="テーブル3" displayName="テーブル3" ref="A1:M104" totalsRowShown="0" headerRowDxfId="15" dataDxfId="14" tableBorderDxfId="13">
  <autoFilter ref="A1:M104"/>
  <tableColumns count="13">
    <tableColumn id="2" name="No." dataDxfId="12">
      <calculatedColumnFormula>ROW()-1</calculatedColumnFormula>
    </tableColumn>
    <tableColumn id="1" name="(Last Name, First Name)" dataDxfId="11"/>
    <tableColumn id="3" name="Accenture EID" dataDxfId="10"/>
    <tableColumn id="12" name="ID No." dataDxfId="9"/>
    <tableColumn id="4" name="Group" dataDxfId="8"/>
    <tableColumn id="5" name="Tower" dataDxfId="7"/>
    <tableColumn id="6" name="Division" dataDxfId="6"/>
    <tableColumn id="7" name="Section Code" dataDxfId="5"/>
    <tableColumn id="8" name="Roll-in Date" dataDxfId="4"/>
    <tableColumn id="10" name="Job Role" dataDxfId="3"/>
    <tableColumn id="9" name="DB" dataDxfId="2"/>
    <tableColumn id="11" name="Path" dataDxfId="1"/>
    <tableColumn id="13" name="BackUp" dataDxfId="0"/>
  </tableColumns>
  <tableStyleInfo name="TableStyleLight9" showFirstColumn="0" showLastColumn="0" showRowStripes="1" showColumn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03%20Management%20Documents/02%20Work%20Plan%20and%20Time%20Management/01%20myTimeKeeper/01%20Admin/00%20DB/DevDB.xls" TargetMode="External"/><Relationship Id="rId3" Type="http://schemas.openxmlformats.org/officeDocument/2006/relationships/hyperlink" Target="../../../03%20Management%20Documents/02%20Work%20Plan%20and%20Time%20Management/01%20myTimeKeeper/01%20Admin/00%20DB/DevDB.xls" TargetMode="External"/><Relationship Id="rId7" Type="http://schemas.openxmlformats.org/officeDocument/2006/relationships/hyperlink" Target="../../../03%20Management%20Documents/02%20Work%20Plan%20and%20Time%20Management/01%20myTimeKeeper/01%20Admin/00%20DB/DevDB.xls" TargetMode="External"/><Relationship Id="rId2" Type="http://schemas.openxmlformats.org/officeDocument/2006/relationships/hyperlink" Target="../../../03%20Management%20Documents/02%20Work%20Plan%20and%20Time%20Management/01%20myTimeKeeper/01%20Admin/00%20DB/DevDB.xls" TargetMode="External"/><Relationship Id="rId1" Type="http://schemas.openxmlformats.org/officeDocument/2006/relationships/hyperlink" Target="../../../03%20Management%20Documents/02%20Work%20Plan%20and%20Time%20Management/01%20myTimeKeeper/01%20Admin/00%20DB/DevDB.xls" TargetMode="External"/><Relationship Id="rId6" Type="http://schemas.openxmlformats.org/officeDocument/2006/relationships/hyperlink" Target="../../../03%20Management%20Documents/02%20Work%20Plan%20and%20Time%20Management/01%20myTimeKeeper/01%20Admin/00%20DB/DevDB.xls" TargetMode="External"/><Relationship Id="rId5" Type="http://schemas.openxmlformats.org/officeDocument/2006/relationships/hyperlink" Target="../../../03%20Management%20Documents/02%20Work%20Plan%20and%20Time%20Management/01%20myTimeKeeper/01%20Admin/00%20DB/DevDB.xls" TargetMode="External"/><Relationship Id="rId10" Type="http://schemas.openxmlformats.org/officeDocument/2006/relationships/table" Target="../tables/table2.xml"/><Relationship Id="rId4" Type="http://schemas.openxmlformats.org/officeDocument/2006/relationships/hyperlink" Target="../../../03%20Management%20Documents/02%20Work%20Plan%20and%20Time%20Management/01%20myTimeKeeper/01%20Admin/00%20DB/DevDB.xls" TargetMode="External"/><Relationship Id="rId9"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2:F18"/>
  <sheetViews>
    <sheetView showGridLines="0" topLeftCell="A8" zoomScale="90" zoomScaleNormal="90" workbookViewId="0">
      <selection activeCell="B18" sqref="B18"/>
    </sheetView>
  </sheetViews>
  <sheetFormatPr defaultColWidth="0" defaultRowHeight="12.75" x14ac:dyDescent="0.15"/>
  <cols>
    <col min="1" max="1" width="1.375" style="88" customWidth="1"/>
    <col min="2" max="2" width="12.5" style="88" bestFit="1" customWidth="1"/>
    <col min="3" max="3" width="44.375" style="88" bestFit="1" customWidth="1"/>
    <col min="4" max="4" width="20.875" style="88" bestFit="1" customWidth="1"/>
    <col min="5" max="5" width="12.625" style="88" bestFit="1" customWidth="1"/>
    <col min="6" max="6" width="1.375" style="88" customWidth="1"/>
    <col min="7" max="16384" width="9" style="88" hidden="1"/>
  </cols>
  <sheetData>
    <row r="2" spans="2:5" x14ac:dyDescent="0.2">
      <c r="B2" s="89" t="s">
        <v>0</v>
      </c>
      <c r="C2" s="90"/>
      <c r="D2" s="90"/>
      <c r="E2" s="90"/>
    </row>
    <row r="3" spans="2:5" x14ac:dyDescent="0.2">
      <c r="B3" s="91" t="s">
        <v>1</v>
      </c>
      <c r="C3" s="91" t="s">
        <v>2</v>
      </c>
      <c r="D3" s="91" t="s">
        <v>5</v>
      </c>
      <c r="E3" s="91" t="s">
        <v>3</v>
      </c>
    </row>
    <row r="4" spans="2:5" ht="38.25" x14ac:dyDescent="0.15">
      <c r="B4" s="92">
        <v>0.1</v>
      </c>
      <c r="C4" s="93" t="s">
        <v>82</v>
      </c>
      <c r="D4" s="93" t="s">
        <v>83</v>
      </c>
      <c r="E4" s="94" t="s">
        <v>4</v>
      </c>
    </row>
    <row r="5" spans="2:5" ht="25.5" x14ac:dyDescent="0.15">
      <c r="B5" s="92">
        <v>0.2</v>
      </c>
      <c r="C5" s="93" t="s">
        <v>84</v>
      </c>
      <c r="D5" s="93" t="s">
        <v>85</v>
      </c>
      <c r="E5" s="94" t="s">
        <v>4</v>
      </c>
    </row>
    <row r="6" spans="2:5" ht="63.75" x14ac:dyDescent="0.15">
      <c r="B6" s="92">
        <v>0.3</v>
      </c>
      <c r="C6" s="93" t="s">
        <v>86</v>
      </c>
      <c r="D6" s="93" t="s">
        <v>87</v>
      </c>
      <c r="E6" s="94" t="s">
        <v>4</v>
      </c>
    </row>
    <row r="7" spans="2:5" ht="51" x14ac:dyDescent="0.15">
      <c r="B7" s="92">
        <v>0.4</v>
      </c>
      <c r="C7" s="93" t="s">
        <v>88</v>
      </c>
      <c r="D7" s="93" t="s">
        <v>89</v>
      </c>
      <c r="E7" s="94" t="s">
        <v>4</v>
      </c>
    </row>
    <row r="8" spans="2:5" ht="25.5" x14ac:dyDescent="0.15">
      <c r="B8" s="92">
        <v>0.5</v>
      </c>
      <c r="C8" s="93" t="s">
        <v>90</v>
      </c>
      <c r="D8" s="93" t="s">
        <v>94</v>
      </c>
      <c r="E8" s="94" t="s">
        <v>4</v>
      </c>
    </row>
    <row r="9" spans="2:5" ht="25.5" x14ac:dyDescent="0.15">
      <c r="B9" s="92">
        <v>0.6</v>
      </c>
      <c r="C9" s="93" t="s">
        <v>91</v>
      </c>
      <c r="D9" s="93" t="s">
        <v>92</v>
      </c>
      <c r="E9" s="94" t="s">
        <v>4</v>
      </c>
    </row>
    <row r="10" spans="2:5" ht="38.25" x14ac:dyDescent="0.15">
      <c r="B10" s="92">
        <v>0.7</v>
      </c>
      <c r="C10" s="93" t="s">
        <v>93</v>
      </c>
      <c r="D10" s="93" t="s">
        <v>95</v>
      </c>
      <c r="E10" s="94" t="s">
        <v>4</v>
      </c>
    </row>
    <row r="11" spans="2:5" ht="51" x14ac:dyDescent="0.15">
      <c r="B11" s="92">
        <v>0.8</v>
      </c>
      <c r="C11" s="93" t="s">
        <v>143</v>
      </c>
      <c r="D11" s="93" t="s">
        <v>141</v>
      </c>
      <c r="E11" s="94" t="s">
        <v>142</v>
      </c>
    </row>
    <row r="12" spans="2:5" ht="25.5" x14ac:dyDescent="0.15">
      <c r="B12" s="92">
        <v>0.9</v>
      </c>
      <c r="C12" s="93" t="s">
        <v>144</v>
      </c>
      <c r="D12" s="93" t="s">
        <v>145</v>
      </c>
      <c r="E12" s="94" t="s">
        <v>4</v>
      </c>
    </row>
    <row r="13" spans="2:5" ht="25.5" x14ac:dyDescent="0.15">
      <c r="B13" s="92">
        <v>0.01</v>
      </c>
      <c r="C13" s="93" t="s">
        <v>290</v>
      </c>
      <c r="D13" s="93" t="s">
        <v>293</v>
      </c>
      <c r="E13" s="94" t="s">
        <v>4</v>
      </c>
    </row>
    <row r="14" spans="2:5" ht="25.5" x14ac:dyDescent="0.15">
      <c r="B14" s="92">
        <v>0.02</v>
      </c>
      <c r="C14" s="93" t="s">
        <v>291</v>
      </c>
      <c r="D14" s="93" t="s">
        <v>292</v>
      </c>
      <c r="E14" s="94" t="s">
        <v>4</v>
      </c>
    </row>
    <row r="15" spans="2:5" ht="38.25" x14ac:dyDescent="0.15">
      <c r="B15" s="92">
        <v>0.03</v>
      </c>
      <c r="C15" s="93" t="s">
        <v>314</v>
      </c>
      <c r="D15" s="93" t="s">
        <v>315</v>
      </c>
      <c r="E15" s="94" t="s">
        <v>4</v>
      </c>
    </row>
    <row r="16" spans="2:5" x14ac:dyDescent="0.15">
      <c r="B16" s="95">
        <v>0.04</v>
      </c>
      <c r="C16" s="96" t="s">
        <v>321</v>
      </c>
      <c r="D16" s="96"/>
      <c r="E16" s="97"/>
    </row>
    <row r="17" spans="2:5" ht="38.25" x14ac:dyDescent="0.15">
      <c r="B17" s="95">
        <v>0.05</v>
      </c>
      <c r="C17" s="96" t="s">
        <v>322</v>
      </c>
      <c r="D17" s="98" t="s">
        <v>323</v>
      </c>
      <c r="E17" s="97" t="s">
        <v>324</v>
      </c>
    </row>
    <row r="18" spans="2:5" ht="25.5" x14ac:dyDescent="0.15">
      <c r="B18" s="95">
        <v>0.06</v>
      </c>
      <c r="C18" s="96" t="s">
        <v>325</v>
      </c>
      <c r="D18" s="98" t="s">
        <v>326</v>
      </c>
      <c r="E18" s="97" t="s">
        <v>327</v>
      </c>
    </row>
  </sheetData>
  <sheetProtection selectLockedCells="1"/>
  <phoneticPr fontId="2"/>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I114"/>
  <sheetViews>
    <sheetView zoomScale="80" zoomScaleNormal="80" workbookViewId="0">
      <pane ySplit="3" topLeftCell="A4" activePane="bottomLeft" state="frozen"/>
      <selection pane="bottomLeft"/>
    </sheetView>
  </sheetViews>
  <sheetFormatPr defaultColWidth="0" defaultRowHeight="11.25" x14ac:dyDescent="0.15"/>
  <cols>
    <col min="1" max="1" width="2.75" style="31" customWidth="1"/>
    <col min="2" max="2" width="13.625" style="31" customWidth="1"/>
    <col min="3" max="3" width="22.625" style="31" customWidth="1"/>
    <col min="4" max="4" width="7.375" style="31" customWidth="1"/>
    <col min="5" max="5" width="19.375" style="31" customWidth="1"/>
    <col min="6" max="6" width="9.75" style="31" customWidth="1"/>
    <col min="7" max="7" width="14.375" style="31" customWidth="1"/>
    <col min="8" max="8" width="1.625" style="31" customWidth="1"/>
    <col min="9" max="9" width="0" style="31" hidden="1" customWidth="1"/>
    <col min="10" max="16384" width="9" style="31" hidden="1"/>
  </cols>
  <sheetData>
    <row r="1" spans="2:7" s="29" customFormat="1" ht="15" x14ac:dyDescent="0.15"/>
    <row r="2" spans="2:7" s="29" customFormat="1" ht="15.75" x14ac:dyDescent="0.15">
      <c r="B2" s="107" t="s">
        <v>96</v>
      </c>
      <c r="C2" s="107"/>
      <c r="D2" s="107"/>
      <c r="E2" s="107"/>
      <c r="F2" s="107"/>
      <c r="G2" s="107"/>
    </row>
    <row r="3" spans="2:7" s="30" customFormat="1" ht="12.75" x14ac:dyDescent="0.15">
      <c r="B3" s="108" t="s">
        <v>97</v>
      </c>
      <c r="C3" s="108"/>
      <c r="D3" s="108"/>
      <c r="E3" s="108"/>
      <c r="F3" s="108"/>
      <c r="G3" s="108"/>
    </row>
    <row r="5" spans="2:7" ht="40.5" customHeight="1" x14ac:dyDescent="0.15">
      <c r="B5" s="109" t="s">
        <v>98</v>
      </c>
      <c r="C5" s="110"/>
      <c r="D5" s="110"/>
      <c r="E5" s="110"/>
      <c r="F5" s="110"/>
      <c r="G5" s="110"/>
    </row>
    <row r="7" spans="2:7" x14ac:dyDescent="0.15">
      <c r="B7" s="102" t="s">
        <v>99</v>
      </c>
      <c r="C7" s="102"/>
      <c r="D7" s="102"/>
      <c r="E7" s="102"/>
      <c r="F7" s="102"/>
      <c r="G7" s="102"/>
    </row>
    <row r="8" spans="2:7" x14ac:dyDescent="0.15">
      <c r="B8" s="77" t="s">
        <v>274</v>
      </c>
      <c r="C8" s="101" t="s">
        <v>100</v>
      </c>
      <c r="D8" s="101"/>
      <c r="E8" s="101"/>
      <c r="F8" s="101"/>
      <c r="G8" s="101"/>
    </row>
    <row r="9" spans="2:7" x14ac:dyDescent="0.15">
      <c r="B9" s="77" t="s">
        <v>275</v>
      </c>
      <c r="C9" s="101" t="s">
        <v>101</v>
      </c>
      <c r="D9" s="101"/>
      <c r="E9" s="101"/>
      <c r="F9" s="101"/>
      <c r="G9" s="101"/>
    </row>
    <row r="10" spans="2:7" x14ac:dyDescent="0.15">
      <c r="B10" s="77" t="s">
        <v>316</v>
      </c>
      <c r="C10" s="101" t="s">
        <v>317</v>
      </c>
      <c r="D10" s="101"/>
      <c r="E10" s="101"/>
      <c r="F10" s="101"/>
      <c r="G10" s="101"/>
    </row>
    <row r="11" spans="2:7" x14ac:dyDescent="0.15">
      <c r="B11" s="77" t="s">
        <v>276</v>
      </c>
      <c r="C11" s="101" t="s">
        <v>102</v>
      </c>
      <c r="D11" s="101"/>
      <c r="E11" s="101"/>
      <c r="F11" s="101"/>
      <c r="G11" s="101"/>
    </row>
    <row r="12" spans="2:7" x14ac:dyDescent="0.15">
      <c r="B12" s="77" t="s">
        <v>277</v>
      </c>
      <c r="C12" s="101" t="s">
        <v>103</v>
      </c>
      <c r="D12" s="101"/>
      <c r="E12" s="101"/>
      <c r="F12" s="101"/>
      <c r="G12" s="101"/>
    </row>
    <row r="14" spans="2:7" x14ac:dyDescent="0.15">
      <c r="B14" s="102" t="s">
        <v>104</v>
      </c>
      <c r="C14" s="102"/>
      <c r="D14" s="102"/>
      <c r="E14" s="102"/>
      <c r="F14" s="102"/>
      <c r="G14" s="102"/>
    </row>
    <row r="15" spans="2:7" ht="68.25" customHeight="1" x14ac:dyDescent="0.15">
      <c r="B15" s="103" t="s">
        <v>105</v>
      </c>
      <c r="C15" s="104"/>
      <c r="D15" s="104"/>
      <c r="E15" s="104"/>
      <c r="F15" s="104"/>
      <c r="G15" s="104"/>
    </row>
    <row r="17" spans="2:7" x14ac:dyDescent="0.15">
      <c r="B17" s="105" t="s">
        <v>106</v>
      </c>
      <c r="C17" s="106"/>
      <c r="D17" s="106"/>
      <c r="E17" s="106"/>
      <c r="F17" s="106"/>
      <c r="G17" s="106"/>
    </row>
    <row r="18" spans="2:7" s="33" customFormat="1" x14ac:dyDescent="0.15">
      <c r="B18" s="32" t="s">
        <v>107</v>
      </c>
      <c r="C18" s="99" t="s">
        <v>108</v>
      </c>
      <c r="D18" s="99"/>
      <c r="E18" s="99"/>
      <c r="F18" s="99"/>
      <c r="G18" s="99"/>
    </row>
    <row r="19" spans="2:7" x14ac:dyDescent="0.15">
      <c r="B19" s="34" t="s">
        <v>109</v>
      </c>
      <c r="C19" s="35" t="s">
        <v>110</v>
      </c>
      <c r="D19" s="35"/>
      <c r="E19" s="35"/>
      <c r="F19" s="35"/>
      <c r="G19" s="35"/>
    </row>
    <row r="20" spans="2:7" x14ac:dyDescent="0.15">
      <c r="B20" s="36"/>
      <c r="C20" s="37" t="s">
        <v>278</v>
      </c>
      <c r="D20" s="37"/>
      <c r="E20" s="37"/>
      <c r="F20" s="37"/>
      <c r="G20" s="37"/>
    </row>
    <row r="21" spans="2:7" s="33" customFormat="1" x14ac:dyDescent="0.15">
      <c r="B21" s="32" t="s">
        <v>111</v>
      </c>
      <c r="C21" s="99" t="s">
        <v>112</v>
      </c>
      <c r="D21" s="99"/>
      <c r="E21" s="99"/>
      <c r="F21" s="99"/>
      <c r="G21" s="99"/>
    </row>
    <row r="22" spans="2:7" x14ac:dyDescent="0.15">
      <c r="B22" s="34" t="s">
        <v>113</v>
      </c>
      <c r="C22" s="35" t="s">
        <v>114</v>
      </c>
      <c r="D22" s="35"/>
      <c r="E22" s="35"/>
      <c r="F22" s="35"/>
      <c r="G22" s="35"/>
    </row>
    <row r="23" spans="2:7" x14ac:dyDescent="0.15">
      <c r="B23" s="34"/>
      <c r="C23" s="35"/>
      <c r="D23" s="35"/>
      <c r="E23" s="35"/>
      <c r="F23" s="35"/>
      <c r="G23" s="35"/>
    </row>
    <row r="24" spans="2:7" x14ac:dyDescent="0.15">
      <c r="B24" s="34"/>
      <c r="C24" s="35"/>
      <c r="D24" s="35"/>
      <c r="E24" s="35"/>
      <c r="F24" s="35"/>
      <c r="G24" s="35"/>
    </row>
    <row r="25" spans="2:7" x14ac:dyDescent="0.15">
      <c r="B25" s="34"/>
      <c r="C25" s="35"/>
      <c r="D25" s="35"/>
      <c r="E25" s="35"/>
      <c r="F25" s="35"/>
      <c r="G25" s="35"/>
    </row>
    <row r="26" spans="2:7" x14ac:dyDescent="0.15">
      <c r="B26" s="34" t="s">
        <v>115</v>
      </c>
      <c r="C26" s="35" t="s">
        <v>116</v>
      </c>
      <c r="D26" s="35"/>
      <c r="E26" s="35"/>
      <c r="F26" s="35"/>
      <c r="G26" s="35"/>
    </row>
    <row r="27" spans="2:7" x14ac:dyDescent="0.15">
      <c r="B27" s="34" t="s">
        <v>117</v>
      </c>
      <c r="C27" s="35" t="s">
        <v>118</v>
      </c>
      <c r="D27" s="35"/>
      <c r="E27" s="35"/>
      <c r="F27" s="35"/>
      <c r="G27" s="35"/>
    </row>
    <row r="28" spans="2:7" x14ac:dyDescent="0.15">
      <c r="B28" s="34"/>
      <c r="C28" s="35"/>
      <c r="D28" s="35"/>
      <c r="E28" s="35"/>
      <c r="F28" s="35"/>
      <c r="G28" s="35"/>
    </row>
    <row r="29" spans="2:7" x14ac:dyDescent="0.15">
      <c r="B29" s="34"/>
      <c r="C29" s="35"/>
      <c r="D29" s="35"/>
      <c r="E29" s="35"/>
      <c r="F29" s="35"/>
      <c r="G29" s="35"/>
    </row>
    <row r="30" spans="2:7" x14ac:dyDescent="0.15">
      <c r="B30" s="34"/>
      <c r="C30" s="35"/>
      <c r="D30" s="35"/>
      <c r="E30" s="35"/>
      <c r="F30" s="35"/>
      <c r="G30" s="35"/>
    </row>
    <row r="31" spans="2:7" x14ac:dyDescent="0.15">
      <c r="B31" s="34"/>
      <c r="C31" s="35"/>
      <c r="D31" s="35"/>
      <c r="E31" s="35"/>
      <c r="F31" s="35"/>
      <c r="G31" s="35"/>
    </row>
    <row r="32" spans="2:7" x14ac:dyDescent="0.15">
      <c r="B32" s="34"/>
      <c r="C32" s="35"/>
      <c r="D32" s="35"/>
      <c r="E32" s="35"/>
      <c r="F32" s="35"/>
      <c r="G32" s="35"/>
    </row>
    <row r="33" spans="2:7" x14ac:dyDescent="0.15">
      <c r="B33" s="34"/>
      <c r="C33" s="35"/>
      <c r="D33" s="35"/>
      <c r="E33" s="35"/>
      <c r="F33" s="35"/>
      <c r="G33" s="35"/>
    </row>
    <row r="34" spans="2:7" x14ac:dyDescent="0.15">
      <c r="B34" s="34"/>
      <c r="C34" s="35"/>
      <c r="D34" s="35"/>
      <c r="E34" s="35"/>
      <c r="F34" s="35"/>
      <c r="G34" s="35"/>
    </row>
    <row r="35" spans="2:7" x14ac:dyDescent="0.15">
      <c r="B35" s="34"/>
      <c r="C35" s="35"/>
      <c r="D35" s="35"/>
      <c r="E35" s="35"/>
      <c r="F35" s="35"/>
      <c r="G35" s="35"/>
    </row>
    <row r="36" spans="2:7" x14ac:dyDescent="0.15">
      <c r="B36" s="34"/>
      <c r="C36" s="35"/>
      <c r="D36" s="35"/>
      <c r="E36" s="35"/>
      <c r="F36" s="35"/>
      <c r="G36" s="35"/>
    </row>
    <row r="37" spans="2:7" x14ac:dyDescent="0.15">
      <c r="B37" s="34"/>
      <c r="C37" s="35"/>
      <c r="D37" s="35"/>
      <c r="E37" s="35"/>
      <c r="F37" s="35"/>
      <c r="G37" s="35"/>
    </row>
    <row r="38" spans="2:7" x14ac:dyDescent="0.15">
      <c r="B38" s="34" t="s">
        <v>119</v>
      </c>
      <c r="C38" s="35" t="s">
        <v>120</v>
      </c>
      <c r="D38" s="35"/>
      <c r="E38" s="35"/>
      <c r="F38" s="35"/>
      <c r="G38" s="35"/>
    </row>
    <row r="39" spans="2:7" x14ac:dyDescent="0.15">
      <c r="B39" s="34"/>
      <c r="C39" s="35"/>
      <c r="D39" s="35"/>
      <c r="E39" s="35"/>
      <c r="F39" s="35"/>
      <c r="G39" s="35"/>
    </row>
    <row r="40" spans="2:7" x14ac:dyDescent="0.15">
      <c r="B40" s="34"/>
      <c r="C40" s="35"/>
      <c r="D40" s="35"/>
      <c r="E40" s="35"/>
      <c r="F40" s="35"/>
      <c r="G40" s="35"/>
    </row>
    <row r="41" spans="2:7" x14ac:dyDescent="0.15">
      <c r="B41" s="34"/>
      <c r="C41" s="35"/>
      <c r="D41" s="35"/>
      <c r="E41" s="35"/>
      <c r="F41" s="35"/>
      <c r="G41" s="35"/>
    </row>
    <row r="42" spans="2:7" x14ac:dyDescent="0.15">
      <c r="B42" s="34"/>
      <c r="C42" s="35"/>
      <c r="D42" s="35"/>
      <c r="E42" s="35"/>
      <c r="F42" s="35"/>
      <c r="G42" s="35"/>
    </row>
    <row r="43" spans="2:7" x14ac:dyDescent="0.15">
      <c r="B43" s="34"/>
      <c r="C43" s="35"/>
      <c r="D43" s="35"/>
      <c r="E43" s="35"/>
      <c r="F43" s="35"/>
      <c r="G43" s="35"/>
    </row>
    <row r="44" spans="2:7" x14ac:dyDescent="0.15">
      <c r="B44" s="34"/>
      <c r="C44" s="35"/>
      <c r="D44" s="35"/>
      <c r="E44" s="35"/>
      <c r="F44" s="35"/>
      <c r="G44" s="35"/>
    </row>
    <row r="45" spans="2:7" x14ac:dyDescent="0.15">
      <c r="B45" s="34"/>
      <c r="C45" s="35"/>
      <c r="D45" s="35"/>
      <c r="E45" s="35"/>
      <c r="F45" s="35"/>
      <c r="G45" s="35"/>
    </row>
    <row r="46" spans="2:7" x14ac:dyDescent="0.15">
      <c r="B46" s="34"/>
      <c r="C46" s="35"/>
      <c r="D46" s="35"/>
      <c r="E46" s="35"/>
      <c r="F46" s="35"/>
      <c r="G46" s="35"/>
    </row>
    <row r="47" spans="2:7" x14ac:dyDescent="0.15">
      <c r="B47" s="34" t="s">
        <v>121</v>
      </c>
      <c r="C47" s="35" t="s">
        <v>122</v>
      </c>
      <c r="D47" s="35"/>
      <c r="E47" s="35"/>
      <c r="F47" s="35"/>
      <c r="G47" s="35"/>
    </row>
    <row r="48" spans="2:7" x14ac:dyDescent="0.15">
      <c r="B48" s="34"/>
      <c r="C48" s="35"/>
      <c r="D48" s="35"/>
      <c r="E48" s="35"/>
      <c r="F48" s="35"/>
      <c r="G48" s="35"/>
    </row>
    <row r="49" spans="2:7" x14ac:dyDescent="0.15">
      <c r="B49" s="34"/>
      <c r="C49" s="35"/>
      <c r="D49" s="35"/>
      <c r="E49" s="35"/>
      <c r="F49" s="35"/>
      <c r="G49" s="35"/>
    </row>
    <row r="50" spans="2:7" x14ac:dyDescent="0.15">
      <c r="B50" s="34"/>
      <c r="C50" s="35"/>
      <c r="D50" s="35"/>
      <c r="E50" s="35"/>
      <c r="F50" s="35"/>
      <c r="G50" s="35"/>
    </row>
    <row r="51" spans="2:7" x14ac:dyDescent="0.15">
      <c r="B51" s="34"/>
      <c r="C51" s="35"/>
      <c r="D51" s="35"/>
      <c r="E51" s="35"/>
      <c r="F51" s="35"/>
      <c r="G51" s="35"/>
    </row>
    <row r="52" spans="2:7" x14ac:dyDescent="0.15">
      <c r="B52" s="34"/>
      <c r="C52" s="35"/>
      <c r="D52" s="35"/>
      <c r="E52" s="35"/>
      <c r="F52" s="35"/>
      <c r="G52" s="35"/>
    </row>
    <row r="53" spans="2:7" x14ac:dyDescent="0.15">
      <c r="B53" s="34"/>
      <c r="C53" s="35"/>
      <c r="D53" s="35"/>
      <c r="E53" s="35"/>
      <c r="F53" s="35"/>
      <c r="G53" s="35"/>
    </row>
    <row r="54" spans="2:7" x14ac:dyDescent="0.15">
      <c r="B54" s="34"/>
      <c r="C54" s="35"/>
      <c r="D54" s="35"/>
      <c r="E54" s="35"/>
      <c r="F54" s="35"/>
      <c r="G54" s="35"/>
    </row>
    <row r="55" spans="2:7" x14ac:dyDescent="0.15">
      <c r="B55" s="38"/>
      <c r="C55" s="37"/>
      <c r="D55" s="37"/>
      <c r="E55" s="37"/>
      <c r="F55" s="37"/>
      <c r="G55" s="37"/>
    </row>
    <row r="56" spans="2:7" s="33" customFormat="1" x14ac:dyDescent="0.15">
      <c r="B56" s="32" t="s">
        <v>123</v>
      </c>
      <c r="C56" s="99" t="s">
        <v>124</v>
      </c>
      <c r="D56" s="99"/>
      <c r="E56" s="99"/>
      <c r="F56" s="99"/>
      <c r="G56" s="99"/>
    </row>
    <row r="57" spans="2:7" x14ac:dyDescent="0.15">
      <c r="B57" s="34" t="s">
        <v>125</v>
      </c>
      <c r="C57" s="35" t="s">
        <v>126</v>
      </c>
      <c r="D57" s="35"/>
      <c r="E57" s="35"/>
      <c r="F57" s="35"/>
      <c r="G57" s="35"/>
    </row>
    <row r="58" spans="2:7" x14ac:dyDescent="0.15">
      <c r="B58" s="34"/>
      <c r="C58" s="35"/>
      <c r="D58" s="35"/>
      <c r="E58" s="35"/>
      <c r="F58" s="35"/>
      <c r="G58" s="35"/>
    </row>
    <row r="59" spans="2:7" x14ac:dyDescent="0.15">
      <c r="B59" s="34"/>
      <c r="C59" s="35"/>
      <c r="D59" s="35"/>
      <c r="E59" s="35"/>
      <c r="F59" s="35"/>
      <c r="G59" s="35"/>
    </row>
    <row r="60" spans="2:7" x14ac:dyDescent="0.15">
      <c r="B60" s="34"/>
      <c r="C60" s="35"/>
      <c r="D60" s="35"/>
      <c r="E60" s="35"/>
      <c r="F60" s="35"/>
      <c r="G60" s="35"/>
    </row>
    <row r="61" spans="2:7" x14ac:dyDescent="0.15">
      <c r="B61" s="34"/>
      <c r="C61" s="35"/>
      <c r="D61" s="35"/>
      <c r="E61" s="35"/>
      <c r="F61" s="35"/>
      <c r="G61" s="35"/>
    </row>
    <row r="62" spans="2:7" x14ac:dyDescent="0.15">
      <c r="B62" s="34"/>
      <c r="C62" s="35"/>
      <c r="D62" s="35"/>
      <c r="E62" s="35"/>
      <c r="F62" s="35"/>
      <c r="G62" s="35"/>
    </row>
    <row r="63" spans="2:7" x14ac:dyDescent="0.15">
      <c r="B63" s="34"/>
      <c r="C63" s="35"/>
      <c r="D63" s="35"/>
      <c r="E63" s="35"/>
      <c r="F63" s="35"/>
      <c r="G63" s="35"/>
    </row>
    <row r="64" spans="2:7" x14ac:dyDescent="0.15">
      <c r="B64" s="34"/>
      <c r="C64" s="35"/>
      <c r="D64" s="35"/>
      <c r="E64" s="35"/>
      <c r="F64" s="35"/>
      <c r="G64" s="35"/>
    </row>
    <row r="65" spans="2:7" x14ac:dyDescent="0.15">
      <c r="B65" s="34"/>
      <c r="C65" s="35"/>
      <c r="D65" s="35"/>
      <c r="E65" s="35"/>
      <c r="F65" s="35"/>
      <c r="G65" s="35"/>
    </row>
    <row r="66" spans="2:7" x14ac:dyDescent="0.15">
      <c r="B66" s="34"/>
      <c r="C66" s="35"/>
      <c r="D66" s="35"/>
      <c r="E66" s="35"/>
      <c r="F66" s="35"/>
      <c r="G66" s="35"/>
    </row>
    <row r="67" spans="2:7" x14ac:dyDescent="0.15">
      <c r="B67" s="34"/>
      <c r="C67" s="35"/>
      <c r="D67" s="35"/>
      <c r="E67" s="35"/>
      <c r="F67" s="35"/>
      <c r="G67" s="35"/>
    </row>
    <row r="68" spans="2:7" x14ac:dyDescent="0.15">
      <c r="B68" s="34"/>
      <c r="C68" s="35"/>
      <c r="D68" s="35"/>
      <c r="E68" s="35"/>
      <c r="F68" s="35"/>
      <c r="G68" s="35"/>
    </row>
    <row r="69" spans="2:7" x14ac:dyDescent="0.15">
      <c r="B69" s="34"/>
      <c r="C69" s="35"/>
      <c r="D69" s="35"/>
      <c r="E69" s="35"/>
      <c r="F69" s="35"/>
      <c r="G69" s="35"/>
    </row>
    <row r="70" spans="2:7" x14ac:dyDescent="0.15">
      <c r="B70" s="34" t="s">
        <v>127</v>
      </c>
      <c r="C70" s="35" t="s">
        <v>128</v>
      </c>
      <c r="D70" s="35"/>
      <c r="E70" s="35"/>
      <c r="F70" s="35"/>
      <c r="G70" s="35"/>
    </row>
    <row r="71" spans="2:7" x14ac:dyDescent="0.15">
      <c r="B71" s="34" t="s">
        <v>117</v>
      </c>
      <c r="C71" s="35" t="s">
        <v>129</v>
      </c>
      <c r="D71" s="35"/>
      <c r="E71" s="35"/>
      <c r="F71" s="35"/>
      <c r="G71" s="35"/>
    </row>
    <row r="72" spans="2:7" x14ac:dyDescent="0.15">
      <c r="B72" s="34" t="s">
        <v>119</v>
      </c>
      <c r="C72" s="35" t="s">
        <v>130</v>
      </c>
      <c r="D72" s="35"/>
      <c r="E72" s="35"/>
      <c r="F72" s="35"/>
      <c r="G72" s="35"/>
    </row>
    <row r="73" spans="2:7" x14ac:dyDescent="0.15">
      <c r="B73" s="34" t="s">
        <v>121</v>
      </c>
      <c r="C73" s="35" t="s">
        <v>131</v>
      </c>
      <c r="D73" s="35"/>
      <c r="E73" s="35"/>
      <c r="F73" s="35"/>
      <c r="G73" s="35"/>
    </row>
    <row r="74" spans="2:7" x14ac:dyDescent="0.15">
      <c r="B74" s="34"/>
      <c r="C74" s="35"/>
      <c r="D74" s="35"/>
      <c r="E74" s="35"/>
      <c r="F74" s="35"/>
      <c r="G74" s="35"/>
    </row>
    <row r="75" spans="2:7" x14ac:dyDescent="0.15">
      <c r="B75" s="34"/>
      <c r="C75" s="35"/>
      <c r="D75" s="35"/>
      <c r="E75" s="35"/>
      <c r="F75" s="35"/>
      <c r="G75" s="35"/>
    </row>
    <row r="76" spans="2:7" x14ac:dyDescent="0.15">
      <c r="B76" s="34"/>
      <c r="C76" s="35"/>
      <c r="D76" s="35"/>
      <c r="E76" s="35"/>
      <c r="F76" s="35"/>
      <c r="G76" s="35"/>
    </row>
    <row r="77" spans="2:7" x14ac:dyDescent="0.15">
      <c r="B77" s="34"/>
      <c r="C77" s="35"/>
      <c r="D77" s="35"/>
      <c r="E77" s="35"/>
      <c r="F77" s="35"/>
      <c r="G77" s="35"/>
    </row>
    <row r="78" spans="2:7" x14ac:dyDescent="0.15">
      <c r="B78" s="34"/>
      <c r="C78" s="35"/>
      <c r="D78" s="35"/>
      <c r="E78" s="35"/>
      <c r="F78" s="35"/>
      <c r="G78" s="35"/>
    </row>
    <row r="79" spans="2:7" x14ac:dyDescent="0.15">
      <c r="B79" s="34"/>
      <c r="C79" s="35"/>
      <c r="D79" s="35"/>
      <c r="E79" s="35"/>
      <c r="F79" s="35"/>
      <c r="G79" s="35"/>
    </row>
    <row r="80" spans="2:7" x14ac:dyDescent="0.15">
      <c r="B80" s="34"/>
      <c r="C80" s="35"/>
      <c r="D80" s="35"/>
      <c r="E80" s="35"/>
      <c r="F80" s="35"/>
      <c r="G80" s="35"/>
    </row>
    <row r="81" spans="2:7" x14ac:dyDescent="0.15">
      <c r="B81" s="34"/>
      <c r="C81" s="35"/>
      <c r="D81" s="35"/>
      <c r="E81" s="35"/>
      <c r="F81" s="35"/>
      <c r="G81" s="35"/>
    </row>
    <row r="82" spans="2:7" x14ac:dyDescent="0.15">
      <c r="B82" s="34" t="s">
        <v>132</v>
      </c>
      <c r="C82" s="35" t="s">
        <v>133</v>
      </c>
      <c r="D82" s="35"/>
      <c r="E82" s="35"/>
      <c r="F82" s="35"/>
      <c r="G82" s="35"/>
    </row>
    <row r="83" spans="2:7" x14ac:dyDescent="0.15">
      <c r="B83" s="34" t="s">
        <v>319</v>
      </c>
      <c r="C83" s="35" t="s">
        <v>320</v>
      </c>
      <c r="D83" s="35"/>
      <c r="E83" s="35"/>
      <c r="F83" s="35"/>
      <c r="G83" s="35"/>
    </row>
    <row r="84" spans="2:7" x14ac:dyDescent="0.15">
      <c r="B84" s="38"/>
      <c r="C84" s="37" t="s">
        <v>318</v>
      </c>
      <c r="D84" s="37"/>
      <c r="E84" s="37"/>
      <c r="F84" s="37"/>
      <c r="G84" s="37"/>
    </row>
    <row r="85" spans="2:7" s="33" customFormat="1" x14ac:dyDescent="0.15">
      <c r="B85" s="32" t="s">
        <v>134</v>
      </c>
      <c r="C85" s="100" t="s">
        <v>135</v>
      </c>
      <c r="D85" s="100"/>
      <c r="E85" s="100"/>
      <c r="F85" s="100"/>
      <c r="G85" s="100"/>
    </row>
    <row r="86" spans="2:7" x14ac:dyDescent="0.15">
      <c r="B86" s="34" t="s">
        <v>125</v>
      </c>
      <c r="C86" s="35" t="s">
        <v>136</v>
      </c>
      <c r="D86" s="35"/>
      <c r="E86" s="35"/>
      <c r="F86" s="35"/>
      <c r="G86" s="35"/>
    </row>
    <row r="87" spans="2:7" x14ac:dyDescent="0.15">
      <c r="B87" s="34" t="s">
        <v>127</v>
      </c>
      <c r="C87" s="35" t="s">
        <v>137</v>
      </c>
      <c r="D87" s="35"/>
      <c r="E87" s="35"/>
      <c r="F87" s="35"/>
      <c r="G87" s="35"/>
    </row>
    <row r="88" spans="2:7" x14ac:dyDescent="0.15">
      <c r="B88" s="34"/>
      <c r="C88" s="35"/>
      <c r="D88" s="35"/>
      <c r="E88" s="35"/>
      <c r="F88" s="35"/>
      <c r="G88" s="35"/>
    </row>
    <row r="89" spans="2:7" x14ac:dyDescent="0.15">
      <c r="B89" s="34"/>
      <c r="C89" s="35"/>
      <c r="D89" s="35"/>
      <c r="E89" s="35"/>
      <c r="F89" s="35"/>
      <c r="G89" s="35"/>
    </row>
    <row r="90" spans="2:7" x14ac:dyDescent="0.15">
      <c r="B90" s="34"/>
      <c r="C90" s="35"/>
      <c r="D90" s="35"/>
      <c r="E90" s="35"/>
      <c r="F90" s="35"/>
      <c r="G90" s="35"/>
    </row>
    <row r="91" spans="2:7" x14ac:dyDescent="0.15">
      <c r="B91" s="34" t="s">
        <v>117</v>
      </c>
      <c r="C91" s="35" t="s">
        <v>294</v>
      </c>
      <c r="D91" s="35"/>
      <c r="E91" s="35"/>
      <c r="F91" s="35"/>
      <c r="G91" s="35"/>
    </row>
    <row r="92" spans="2:7" x14ac:dyDescent="0.15">
      <c r="B92" s="34"/>
      <c r="C92" s="35"/>
      <c r="D92" s="35"/>
      <c r="E92" s="35"/>
      <c r="F92" s="35"/>
      <c r="G92" s="35"/>
    </row>
    <row r="93" spans="2:7" x14ac:dyDescent="0.15">
      <c r="B93" s="34"/>
      <c r="C93" s="35"/>
      <c r="D93" s="35"/>
      <c r="E93" s="35"/>
      <c r="F93" s="35"/>
      <c r="G93" s="35"/>
    </row>
    <row r="94" spans="2:7" x14ac:dyDescent="0.15">
      <c r="B94" s="34"/>
      <c r="C94" s="35"/>
      <c r="D94" s="35"/>
      <c r="E94" s="35"/>
      <c r="F94" s="35"/>
      <c r="G94" s="35"/>
    </row>
    <row r="95" spans="2:7" x14ac:dyDescent="0.15">
      <c r="B95" s="34"/>
      <c r="C95" s="35"/>
      <c r="D95" s="35"/>
      <c r="E95" s="35"/>
      <c r="F95" s="35"/>
      <c r="G95" s="35"/>
    </row>
    <row r="96" spans="2:7" x14ac:dyDescent="0.15">
      <c r="B96" s="34"/>
      <c r="C96" s="35"/>
      <c r="D96" s="35"/>
      <c r="E96" s="35"/>
      <c r="F96" s="35"/>
      <c r="G96" s="35"/>
    </row>
    <row r="97" spans="2:7" x14ac:dyDescent="0.15">
      <c r="B97" s="34"/>
      <c r="C97" s="35"/>
      <c r="D97" s="35"/>
      <c r="E97" s="35"/>
      <c r="F97" s="35"/>
      <c r="G97" s="35"/>
    </row>
    <row r="98" spans="2:7" x14ac:dyDescent="0.15">
      <c r="B98" s="34"/>
      <c r="C98" s="35"/>
      <c r="D98" s="35"/>
      <c r="E98" s="35"/>
      <c r="F98" s="35"/>
      <c r="G98" s="35"/>
    </row>
    <row r="99" spans="2:7" x14ac:dyDescent="0.15">
      <c r="B99" s="34"/>
      <c r="C99" s="35"/>
      <c r="D99" s="35"/>
      <c r="E99" s="35"/>
      <c r="F99" s="35"/>
      <c r="G99" s="35"/>
    </row>
    <row r="100" spans="2:7" x14ac:dyDescent="0.15">
      <c r="B100" s="34"/>
      <c r="C100" s="35"/>
      <c r="D100" s="35"/>
      <c r="E100" s="35"/>
      <c r="F100" s="35"/>
      <c r="G100" s="35"/>
    </row>
    <row r="101" spans="2:7" x14ac:dyDescent="0.15">
      <c r="B101" s="34"/>
      <c r="C101" s="35"/>
      <c r="D101" s="35"/>
      <c r="E101" s="35"/>
      <c r="F101" s="35"/>
      <c r="G101" s="35"/>
    </row>
    <row r="102" spans="2:7" x14ac:dyDescent="0.15">
      <c r="B102" s="34"/>
      <c r="C102" s="35"/>
      <c r="D102" s="35"/>
      <c r="E102" s="35"/>
      <c r="F102" s="35"/>
      <c r="G102" s="35"/>
    </row>
    <row r="103" spans="2:7" x14ac:dyDescent="0.15">
      <c r="B103" s="34" t="s">
        <v>119</v>
      </c>
      <c r="C103" s="35" t="s">
        <v>138</v>
      </c>
      <c r="D103" s="35"/>
      <c r="E103" s="35"/>
      <c r="F103" s="35"/>
      <c r="G103" s="35"/>
    </row>
    <row r="104" spans="2:7" x14ac:dyDescent="0.15">
      <c r="B104" s="34"/>
      <c r="C104" s="35"/>
      <c r="D104" s="35"/>
      <c r="E104" s="35"/>
      <c r="F104" s="35"/>
      <c r="G104" s="35"/>
    </row>
    <row r="105" spans="2:7" x14ac:dyDescent="0.15">
      <c r="B105" s="34"/>
      <c r="C105" s="35"/>
      <c r="D105" s="35"/>
      <c r="E105" s="35"/>
      <c r="F105" s="35"/>
      <c r="G105" s="35"/>
    </row>
    <row r="106" spans="2:7" x14ac:dyDescent="0.15">
      <c r="B106" s="34"/>
      <c r="C106" s="35"/>
      <c r="D106" s="35"/>
      <c r="E106" s="35"/>
      <c r="F106" s="35"/>
      <c r="G106" s="35"/>
    </row>
    <row r="107" spans="2:7" x14ac:dyDescent="0.15">
      <c r="B107" s="34"/>
      <c r="C107" s="35"/>
      <c r="D107" s="35"/>
      <c r="E107" s="35"/>
      <c r="F107" s="35"/>
      <c r="G107" s="35"/>
    </row>
    <row r="108" spans="2:7" x14ac:dyDescent="0.15">
      <c r="B108" s="34"/>
      <c r="C108" s="35"/>
      <c r="D108" s="35"/>
      <c r="E108" s="35"/>
      <c r="F108" s="35"/>
      <c r="G108" s="35"/>
    </row>
    <row r="109" spans="2:7" x14ac:dyDescent="0.15">
      <c r="B109" s="34"/>
      <c r="C109" s="35"/>
      <c r="D109" s="35"/>
      <c r="E109" s="35"/>
      <c r="F109" s="35"/>
      <c r="G109" s="35"/>
    </row>
    <row r="110" spans="2:7" x14ac:dyDescent="0.15">
      <c r="B110" s="34"/>
      <c r="C110" s="35"/>
      <c r="D110" s="35"/>
      <c r="E110" s="35"/>
      <c r="F110" s="35"/>
      <c r="G110" s="35"/>
    </row>
    <row r="111" spans="2:7" x14ac:dyDescent="0.15">
      <c r="B111" s="34"/>
      <c r="C111" s="35"/>
      <c r="D111" s="35"/>
      <c r="E111" s="35"/>
      <c r="F111" s="35"/>
      <c r="G111" s="35"/>
    </row>
    <row r="112" spans="2:7" x14ac:dyDescent="0.15">
      <c r="B112" s="34"/>
      <c r="C112" s="35"/>
      <c r="D112" s="35"/>
      <c r="E112" s="35"/>
      <c r="F112" s="35"/>
      <c r="G112" s="35"/>
    </row>
    <row r="113" spans="2:7" x14ac:dyDescent="0.15">
      <c r="B113" s="34" t="s">
        <v>121</v>
      </c>
      <c r="C113" s="35" t="s">
        <v>139</v>
      </c>
      <c r="D113" s="35"/>
      <c r="E113" s="35"/>
      <c r="F113" s="35"/>
      <c r="G113" s="35"/>
    </row>
    <row r="114" spans="2:7" x14ac:dyDescent="0.15">
      <c r="B114" s="36"/>
      <c r="C114" s="37"/>
      <c r="D114" s="37"/>
      <c r="E114" s="37"/>
      <c r="F114" s="37"/>
      <c r="G114" s="37"/>
    </row>
  </sheetData>
  <mergeCells count="16">
    <mergeCell ref="C9:G9"/>
    <mergeCell ref="B2:G2"/>
    <mergeCell ref="B3:G3"/>
    <mergeCell ref="B5:G5"/>
    <mergeCell ref="B7:G7"/>
    <mergeCell ref="C8:G8"/>
    <mergeCell ref="C18:G18"/>
    <mergeCell ref="C21:G21"/>
    <mergeCell ref="C56:G56"/>
    <mergeCell ref="C85:G85"/>
    <mergeCell ref="C10:G10"/>
    <mergeCell ref="C11:G11"/>
    <mergeCell ref="C12:G12"/>
    <mergeCell ref="B14:G14"/>
    <mergeCell ref="B15:G15"/>
    <mergeCell ref="B17:G17"/>
  </mergeCells>
  <phoneticPr fontId="2"/>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R42"/>
  <sheetViews>
    <sheetView showGridLines="0" tabSelected="1" zoomScaleNormal="100" workbookViewId="0">
      <selection activeCell="A22" sqref="A22"/>
    </sheetView>
  </sheetViews>
  <sheetFormatPr defaultColWidth="0" defaultRowHeight="12.75" customHeight="1" zeroHeight="1" x14ac:dyDescent="0.15"/>
  <cols>
    <col min="1" max="9" width="7.875" style="3" customWidth="1"/>
    <col min="10" max="10" width="8.125" style="3" hidden="1" customWidth="1"/>
    <col min="11" max="11" width="7.375" style="3" hidden="1" customWidth="1"/>
    <col min="12" max="17" width="9" style="3" hidden="1" customWidth="1"/>
    <col min="18" max="18" width="6.875" style="3" hidden="1" customWidth="1"/>
    <col min="19" max="16384" width="9" style="3" hidden="1"/>
  </cols>
  <sheetData>
    <row r="1" spans="5:8" ht="12" customHeight="1" x14ac:dyDescent="0.15"/>
    <row r="2" spans="5:8" ht="12" customHeight="1" x14ac:dyDescent="0.15">
      <c r="E2" s="4"/>
      <c r="F2" s="4"/>
      <c r="G2" s="4"/>
      <c r="H2" s="5"/>
    </row>
    <row r="3" spans="5:8" ht="12" customHeight="1" x14ac:dyDescent="0.15">
      <c r="E3" s="4"/>
      <c r="F3" s="4"/>
      <c r="G3" s="4"/>
      <c r="H3" s="6"/>
    </row>
    <row r="4" spans="5:8" ht="12" customHeight="1" x14ac:dyDescent="0.15">
      <c r="E4" s="4"/>
      <c r="F4" s="4"/>
      <c r="G4" s="4"/>
      <c r="H4" s="4"/>
    </row>
    <row r="5" spans="5:8" ht="12" customHeight="1" x14ac:dyDescent="0.15">
      <c r="E5" s="4"/>
      <c r="F5" s="4"/>
      <c r="G5" s="4"/>
      <c r="H5" s="4"/>
    </row>
    <row r="6" spans="5:8" ht="12" customHeight="1" x14ac:dyDescent="0.15">
      <c r="E6" s="4"/>
      <c r="F6" s="4"/>
      <c r="G6" s="4"/>
      <c r="H6" s="4"/>
    </row>
    <row r="7" spans="5:8" ht="12" customHeight="1" x14ac:dyDescent="0.15">
      <c r="E7" s="4"/>
      <c r="F7" s="4"/>
      <c r="G7" s="4"/>
      <c r="H7" s="4"/>
    </row>
    <row r="8" spans="5:8" ht="12" customHeight="1" x14ac:dyDescent="0.15">
      <c r="E8" s="4"/>
      <c r="F8" s="4"/>
      <c r="G8" s="4"/>
      <c r="H8" s="4"/>
    </row>
    <row r="9" spans="5:8" ht="12" customHeight="1" x14ac:dyDescent="0.15">
      <c r="E9" s="4"/>
      <c r="F9" s="4"/>
      <c r="G9" s="4"/>
      <c r="H9" s="4"/>
    </row>
    <row r="10" spans="5:8" ht="12" customHeight="1" x14ac:dyDescent="0.15">
      <c r="E10" s="4"/>
      <c r="F10" s="4"/>
      <c r="G10" s="4"/>
      <c r="H10" s="4"/>
    </row>
    <row r="11" spans="5:8" ht="12" customHeight="1" x14ac:dyDescent="0.15">
      <c r="E11" s="4"/>
      <c r="F11" s="4"/>
      <c r="G11" s="4"/>
      <c r="H11" s="4"/>
    </row>
    <row r="12" spans="5:8" ht="12" customHeight="1" x14ac:dyDescent="0.15">
      <c r="E12" s="4"/>
      <c r="F12" s="4"/>
      <c r="G12" s="4"/>
      <c r="H12" s="4"/>
    </row>
    <row r="13" spans="5:8" ht="12" customHeight="1" x14ac:dyDescent="0.15">
      <c r="E13" s="4"/>
      <c r="F13" s="4"/>
      <c r="G13" s="4"/>
      <c r="H13" s="4"/>
    </row>
    <row r="14" spans="5:8" ht="12" customHeight="1" x14ac:dyDescent="0.15">
      <c r="E14" s="4"/>
      <c r="F14" s="4"/>
      <c r="G14" s="4"/>
      <c r="H14" s="4"/>
    </row>
    <row r="15" spans="5:8" ht="12" customHeight="1" x14ac:dyDescent="0.15">
      <c r="E15" s="4"/>
      <c r="F15" s="4"/>
      <c r="G15" s="4"/>
      <c r="H15" s="4"/>
    </row>
    <row r="16" spans="5:8" ht="12" customHeight="1" x14ac:dyDescent="0.15">
      <c r="E16" s="4"/>
      <c r="F16" s="4"/>
      <c r="G16" s="4"/>
      <c r="H16" s="4"/>
    </row>
    <row r="17" spans="5:8" ht="12" customHeight="1" x14ac:dyDescent="0.15">
      <c r="E17" s="4"/>
      <c r="F17" s="4"/>
      <c r="G17" s="4"/>
      <c r="H17" s="4"/>
    </row>
    <row r="18" spans="5:8" ht="12" customHeight="1" x14ac:dyDescent="0.15"/>
    <row r="19" spans="5:8" ht="12" customHeight="1" x14ac:dyDescent="0.15"/>
    <row r="20" spans="5:8" ht="12" customHeight="1" x14ac:dyDescent="0.15"/>
    <row r="21" spans="5:8" ht="12" customHeight="1" x14ac:dyDescent="0.15"/>
    <row r="22" spans="5:8" ht="12" customHeight="1" x14ac:dyDescent="0.15"/>
    <row r="23" spans="5:8" ht="12" customHeight="1" x14ac:dyDescent="0.15"/>
    <row r="24" spans="5:8" ht="12" customHeight="1" x14ac:dyDescent="0.15"/>
    <row r="25" spans="5:8" ht="12" customHeight="1" x14ac:dyDescent="0.15"/>
    <row r="26" spans="5:8" ht="12" customHeight="1" x14ac:dyDescent="0.15"/>
    <row r="27" spans="5:8" ht="12" hidden="1" customHeight="1" x14ac:dyDescent="0.15"/>
    <row r="28" spans="5:8" ht="12" hidden="1" customHeight="1" x14ac:dyDescent="0.15"/>
    <row r="29" spans="5:8" ht="12" hidden="1" customHeight="1" x14ac:dyDescent="0.15"/>
    <row r="30" spans="5:8" ht="12" hidden="1" customHeight="1" x14ac:dyDescent="0.15"/>
    <row r="31" spans="5:8" ht="12" hidden="1" customHeight="1" x14ac:dyDescent="0.15"/>
    <row r="32" spans="5:8" ht="12" hidden="1" customHeight="1" x14ac:dyDescent="0.15"/>
    <row r="33" ht="12" hidden="1" customHeight="1" x14ac:dyDescent="0.15"/>
    <row r="34" ht="12" hidden="1" customHeight="1" x14ac:dyDescent="0.15"/>
    <row r="35" ht="12" hidden="1" customHeight="1" x14ac:dyDescent="0.15"/>
    <row r="36" ht="12" hidden="1" customHeight="1" x14ac:dyDescent="0.15"/>
    <row r="37" ht="12" hidden="1" customHeight="1" x14ac:dyDescent="0.15"/>
    <row r="38" ht="12" hidden="1" customHeight="1" x14ac:dyDescent="0.15"/>
    <row r="39" ht="12" hidden="1" customHeight="1" x14ac:dyDescent="0.15"/>
    <row r="40" ht="12" hidden="1" customHeight="1" x14ac:dyDescent="0.15"/>
    <row r="41" ht="12" hidden="1" customHeight="1" x14ac:dyDescent="0.15"/>
    <row r="42" ht="12" hidden="1" customHeight="1" x14ac:dyDescent="0.15"/>
  </sheetData>
  <sheetProtection password="8C8E" sheet="1" objects="1" scenarios="1" selectLockedCells="1"/>
  <phoneticPr fontId="2"/>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O528"/>
  <sheetViews>
    <sheetView showGridLines="0" zoomScale="85" zoomScaleNormal="85" workbookViewId="0">
      <pane ySplit="7" topLeftCell="A8" activePane="bottomLeft" state="frozen"/>
      <selection pane="bottomLeft" activeCell="B8" sqref="B8"/>
    </sheetView>
  </sheetViews>
  <sheetFormatPr defaultColWidth="0" defaultRowHeight="0" customHeight="1" zeroHeight="1" x14ac:dyDescent="0.15"/>
  <cols>
    <col min="1" max="1" width="1.625" style="11" customWidth="1"/>
    <col min="2" max="2" width="11.625" style="7" customWidth="1"/>
    <col min="3" max="3" width="16.625" style="8" customWidth="1"/>
    <col min="4" max="5" width="6.625" style="9" customWidth="1"/>
    <col min="6" max="6" width="16.625" style="8" customWidth="1"/>
    <col min="7" max="7" width="18.625" style="8" customWidth="1"/>
    <col min="8" max="8" width="7.625" style="10" customWidth="1"/>
    <col min="9" max="9" width="18.625" style="10" customWidth="1"/>
    <col min="10" max="10" width="7.625" style="9" customWidth="1"/>
    <col min="11" max="11" width="40.625" style="9" customWidth="1"/>
    <col min="12" max="12" width="1.625" style="11" customWidth="1"/>
    <col min="13" max="13" width="11.375" style="11" hidden="1" customWidth="1"/>
    <col min="14" max="14" width="16" style="11" hidden="1" customWidth="1"/>
    <col min="15" max="16384" width="9" style="11" hidden="1"/>
  </cols>
  <sheetData>
    <row r="1" spans="2:15" ht="9.75" customHeight="1" x14ac:dyDescent="0.15">
      <c r="B1" s="11"/>
      <c r="C1" s="19"/>
      <c r="D1" s="18"/>
      <c r="E1" s="18"/>
      <c r="F1" s="19"/>
      <c r="G1" s="19"/>
      <c r="H1" s="20"/>
      <c r="I1" s="20"/>
      <c r="J1" s="18"/>
      <c r="K1" s="18"/>
    </row>
    <row r="2" spans="2:15" ht="12.75" customHeight="1" x14ac:dyDescent="0.15">
      <c r="B2" s="111" t="s">
        <v>140</v>
      </c>
      <c r="C2" s="112"/>
      <c r="D2" s="112"/>
      <c r="E2" s="112"/>
      <c r="F2" s="112"/>
      <c r="G2" s="112"/>
      <c r="H2" s="112"/>
      <c r="I2" s="112"/>
      <c r="J2" s="112"/>
      <c r="K2" s="113"/>
      <c r="M2" s="67">
        <f ca="1">IFERROR(IF(VLOOKUP(TODAY(),$B$7:$F$200,2,FALSE)=0,"",VLOOKUP(TODAY(),$B$7:$F$200,2,FALSE)),"")</f>
        <v>43531.319409722222</v>
      </c>
      <c r="N2" s="67" t="str">
        <f ca="1">IFERROR(IF(VLOOKUP(TODAY(),$B$7:$K$200,6,FALSE)=0,"",VLOOKUP(TODAY(),$B$7:$K$200,6,FALSE)),"")</f>
        <v/>
      </c>
      <c r="O2" s="75">
        <f ca="1">IFERROR(VLOOKUP(TODAY(),$B$7:$K$200,3,FALSE),"")</f>
        <v>0</v>
      </c>
    </row>
    <row r="3" spans="2:15" ht="12.75" customHeight="1" x14ac:dyDescent="0.15">
      <c r="B3" s="11"/>
      <c r="C3" s="19"/>
      <c r="D3" s="18"/>
      <c r="E3" s="18"/>
      <c r="F3" s="19"/>
      <c r="G3" s="19"/>
      <c r="H3" s="20"/>
      <c r="I3" s="20"/>
      <c r="J3" s="18"/>
      <c r="K3" s="18"/>
      <c r="M3" s="67" t="str">
        <f ca="1">IFERROR(IF(VLOOKUP(TODAY(),$B$7:$F$200,5,FALSE)=0,"",VLOOKUP(TODAY(),$B$7:$F$200,5,FALSE)),"")</f>
        <v/>
      </c>
      <c r="N3" s="20" t="str">
        <f ca="1">IFERROR(IF(VLOOKUP(TODAY(),$B$7:$K$200,7,FALSE)=0,"",VLOOKUP(TODAY(),$B$7:$K$200,7,FALSE)),"")</f>
        <v/>
      </c>
      <c r="O3" s="75">
        <f ca="1">IFERROR(VLOOKUP(TODAY(),$B$7:$K$200,4,FALSE),"")</f>
        <v>0</v>
      </c>
    </row>
    <row r="4" spans="2:15" ht="12.75" customHeight="1" x14ac:dyDescent="0.15">
      <c r="B4" s="64" t="s">
        <v>263</v>
      </c>
      <c r="C4" s="65">
        <v>111610</v>
      </c>
      <c r="D4" s="22"/>
      <c r="E4" s="22" t="s">
        <v>265</v>
      </c>
      <c r="F4" s="114" t="str">
        <f>IF(C4="","",VLOOKUP(C4,CHOOSE({1,2},Resource!D2:D1100,Resource!B2:B1100),2,FALSE))</f>
        <v>Dedumo, Paul Ryan A.</v>
      </c>
      <c r="G4" s="114"/>
      <c r="H4" s="17"/>
      <c r="I4" s="17"/>
      <c r="J4" s="16"/>
      <c r="K4" s="16"/>
      <c r="M4" s="20" t="str">
        <f ca="1">IFERROR(IF(VLOOKUP(TODAY(),$B$7:$J$200,9,FALSE)=0,"",VLOOKUP(TODAY(),$B$7:$J$200,9,FALSE)),"")</f>
        <v/>
      </c>
      <c r="N4" s="67" t="str">
        <f ca="1">IFERROR(IF(VLOOKUP(TODAY(),$B$7:$K$200,8,FALSE)=0,"",VLOOKUP(TODAY(),$B$7:$K$200,8,FALSE)),"")</f>
        <v/>
      </c>
    </row>
    <row r="5" spans="2:15" ht="12.75" customHeight="1" x14ac:dyDescent="0.15">
      <c r="B5" s="64" t="s">
        <v>264</v>
      </c>
      <c r="C5" s="114" t="str">
        <f>IF(C4="","",VLOOKUP(C4,CHOOSE({1,2},Resource!D2:D201,Resource!C2:C201),2,FALSE))</f>
        <v>paul.ryan.a.dedumo</v>
      </c>
      <c r="D5" s="114"/>
      <c r="E5" s="66" t="s">
        <v>268</v>
      </c>
      <c r="F5" s="114" t="str">
        <f>IFERROR(IF(C4="","",VLOOKUP(C4,Resource!D2:H103,5,FALSE))&amp;" | "&amp;VLOOKUP(C4,Resource!D2:G103,4,FALSE),"")</f>
        <v>BS2-3_ACN | AirBag</v>
      </c>
      <c r="G5" s="114"/>
      <c r="H5" s="17"/>
      <c r="I5" s="17"/>
      <c r="J5" s="18"/>
      <c r="K5" s="18"/>
      <c r="N5" s="67" t="str">
        <f ca="1">IFERROR(IF(VLOOKUP(TODAY(),$B$7:$K$200,10,FALSE)=0,"",VLOOKUP(TODAY(),$B$7:$K$200,10,FALSE)),"")</f>
        <v/>
      </c>
    </row>
    <row r="6" spans="2:15" ht="12.75" customHeight="1" thickBot="1" x14ac:dyDescent="0.2">
      <c r="B6" s="11"/>
      <c r="C6" s="19"/>
      <c r="D6" s="16"/>
      <c r="E6" s="16"/>
      <c r="F6" s="19"/>
      <c r="G6" s="19"/>
      <c r="H6" s="20"/>
      <c r="I6" s="20"/>
      <c r="J6" s="18"/>
      <c r="K6" s="18"/>
    </row>
    <row r="7" spans="2:15" ht="12.75" x14ac:dyDescent="0.15">
      <c r="B7" s="51" t="s">
        <v>380</v>
      </c>
      <c r="C7" s="52" t="s">
        <v>381</v>
      </c>
      <c r="D7" s="53" t="s">
        <v>382</v>
      </c>
      <c r="E7" s="53" t="s">
        <v>383</v>
      </c>
      <c r="F7" s="52" t="s">
        <v>384</v>
      </c>
      <c r="G7" s="52" t="s">
        <v>385</v>
      </c>
      <c r="H7" s="53" t="s">
        <v>386</v>
      </c>
      <c r="I7" s="53" t="s">
        <v>387</v>
      </c>
      <c r="J7" s="53" t="s">
        <v>388</v>
      </c>
      <c r="K7" s="54" t="s">
        <v>389</v>
      </c>
    </row>
    <row r="8" spans="2:15" ht="12" customHeight="1" x14ac:dyDescent="0.15">
      <c r="B8" s="48">
        <v>43522</v>
      </c>
      <c r="C8" s="39">
        <v>43522.37091435185</v>
      </c>
      <c r="D8" s="42">
        <v>0</v>
      </c>
      <c r="E8" s="42">
        <v>0</v>
      </c>
      <c r="F8" s="39">
        <v>43522.818437499998</v>
      </c>
      <c r="G8" s="12"/>
      <c r="H8" s="45">
        <v>0</v>
      </c>
      <c r="I8" s="25"/>
      <c r="J8" s="45">
        <v>9.74</v>
      </c>
      <c r="K8" s="14"/>
      <c r="M8" s="71" t="s">
        <v>304</v>
      </c>
      <c r="N8" s="73">
        <f>$C$4</f>
        <v>111610</v>
      </c>
    </row>
    <row r="9" spans="2:15" ht="12" customHeight="1" x14ac:dyDescent="0.15">
      <c r="B9" s="48">
        <v>43523</v>
      </c>
      <c r="C9" s="39">
        <v>43523.306458333333</v>
      </c>
      <c r="D9" s="42">
        <v>0</v>
      </c>
      <c r="E9" s="42">
        <v>0</v>
      </c>
      <c r="F9" s="39">
        <v>43523.72515046296</v>
      </c>
      <c r="G9" s="12"/>
      <c r="H9" s="45">
        <v>0</v>
      </c>
      <c r="I9" s="25"/>
      <c r="J9" s="45">
        <v>9.0500000000000007</v>
      </c>
      <c r="K9" s="14"/>
      <c r="M9" s="71" t="s">
        <v>305</v>
      </c>
      <c r="N9" s="71" t="str">
        <f>IF(N8="","",VLOOKUP(N8,CHOOSE({1,2},テーブル3[ID No.],Resource),2,FALSE))</f>
        <v>Dedumo, Paul Ryan A.</v>
      </c>
      <c r="O9" s="79"/>
    </row>
    <row r="10" spans="2:15" ht="12" customHeight="1" x14ac:dyDescent="0.15">
      <c r="B10" s="48">
        <v>43524</v>
      </c>
      <c r="C10" s="39">
        <v>43524.306342592594</v>
      </c>
      <c r="D10" s="42"/>
      <c r="E10" s="42"/>
      <c r="F10" s="39"/>
      <c r="G10" s="12"/>
      <c r="H10" s="45"/>
      <c r="I10" s="25"/>
      <c r="J10" s="45"/>
      <c r="K10" s="14"/>
      <c r="M10" s="71" t="s">
        <v>306</v>
      </c>
      <c r="N10" s="72" t="str">
        <f>IF(N8="","",VLOOKUP(N8,CHOOSE({1,2},テーブル3[ID No.],テーブル3[Accenture EID]),2,FALSE))</f>
        <v>paul.ryan.a.dedumo</v>
      </c>
    </row>
    <row r="11" spans="2:15" ht="12" customHeight="1" x14ac:dyDescent="0.15">
      <c r="B11" s="48">
        <v>43525</v>
      </c>
      <c r="C11" s="39">
        <v>43525.302060185182</v>
      </c>
      <c r="D11" s="42"/>
      <c r="E11" s="42"/>
      <c r="F11" s="39"/>
      <c r="G11" s="12"/>
      <c r="H11" s="45"/>
      <c r="I11" s="25"/>
      <c r="J11" s="45"/>
      <c r="K11" s="14"/>
      <c r="M11" s="71" t="s">
        <v>307</v>
      </c>
      <c r="N11" s="72" t="str">
        <f>IF($N$8="","",VLOOKUP($N$8,Resource!$D:$J,7,FALSE))</f>
        <v>Tester</v>
      </c>
    </row>
    <row r="12" spans="2:15" ht="12" customHeight="1" x14ac:dyDescent="0.15">
      <c r="B12" s="48">
        <v>43529</v>
      </c>
      <c r="C12" s="39">
        <v>43529.331504629627</v>
      </c>
      <c r="D12" s="42"/>
      <c r="E12" s="42"/>
      <c r="F12" s="39"/>
      <c r="G12" s="12"/>
      <c r="H12" s="45"/>
      <c r="I12" s="25"/>
      <c r="J12" s="45"/>
      <c r="K12" s="14"/>
      <c r="M12" s="71" t="s">
        <v>308</v>
      </c>
      <c r="N12" s="71" t="str">
        <f>IF($N$8="","",VLOOKUP($N$8,テーブル3[[ID No.]:[Roll-in Date]],5,FALSE))</f>
        <v>BS2-3_ACN</v>
      </c>
    </row>
    <row r="13" spans="2:15" ht="12" customHeight="1" x14ac:dyDescent="0.15">
      <c r="B13" s="48">
        <v>43530</v>
      </c>
      <c r="C13" s="39">
        <v>43530.308252314811</v>
      </c>
      <c r="D13" s="42"/>
      <c r="E13" s="42"/>
      <c r="F13" s="39"/>
      <c r="G13" s="12"/>
      <c r="H13" s="45"/>
      <c r="I13" s="25"/>
      <c r="J13" s="45"/>
      <c r="K13" s="14"/>
      <c r="M13" s="71" t="s">
        <v>309</v>
      </c>
      <c r="N13" s="71" t="str">
        <f>IF($N$8="","",VLOOKUP($N$8,テーブル3[[ID No.]:[Job Role]],2,FALSE))</f>
        <v>Gr2</v>
      </c>
    </row>
    <row r="14" spans="2:15" ht="12" customHeight="1" x14ac:dyDescent="0.15">
      <c r="B14" s="48">
        <v>43531</v>
      </c>
      <c r="C14" s="39">
        <v>43531.319409722222</v>
      </c>
      <c r="D14" s="42"/>
      <c r="E14" s="42"/>
      <c r="F14" s="39"/>
      <c r="G14" s="12"/>
      <c r="H14" s="45"/>
      <c r="I14" s="25"/>
      <c r="J14" s="45"/>
      <c r="K14" s="14"/>
      <c r="M14" s="71" t="s">
        <v>310</v>
      </c>
      <c r="N14" s="71" t="str">
        <f>IF($N$8="","",VLOOKUP($N$8,Resource!$D:$J,3,FALSE))</f>
        <v>Irwin</v>
      </c>
    </row>
    <row r="15" spans="2:15" ht="12" customHeight="1" x14ac:dyDescent="0.15">
      <c r="B15" s="48"/>
      <c r="C15" s="39"/>
      <c r="D15" s="42"/>
      <c r="E15" s="42"/>
      <c r="F15" s="39"/>
      <c r="G15" s="12"/>
      <c r="H15" s="45"/>
      <c r="I15" s="25"/>
      <c r="J15" s="45"/>
      <c r="K15" s="14"/>
      <c r="M15" s="71" t="s">
        <v>311</v>
      </c>
      <c r="N15" s="71" t="str">
        <f>IF($N$8="","",VLOOKUP($N$8,テーブル3[[ID No.]:[Job Role]],4,FALSE))</f>
        <v>AirBag</v>
      </c>
    </row>
    <row r="16" spans="2:15" ht="12" customHeight="1" x14ac:dyDescent="0.15">
      <c r="B16" s="48"/>
      <c r="C16" s="39"/>
      <c r="D16" s="42"/>
      <c r="E16" s="42"/>
      <c r="F16" s="39"/>
      <c r="G16" s="12"/>
      <c r="H16" s="45"/>
      <c r="I16" s="25"/>
      <c r="J16" s="45"/>
      <c r="K16" s="14"/>
      <c r="M16" s="71" t="s">
        <v>312</v>
      </c>
      <c r="N16" s="74">
        <f>IF($N$8="","",VLOOKUP($N$8,テーブル3[[ID No.]:[Job Role]],6,FALSE))</f>
        <v>42614</v>
      </c>
    </row>
    <row r="17" spans="2:14" ht="12" customHeight="1" x14ac:dyDescent="0.15">
      <c r="B17" s="48"/>
      <c r="C17" s="39"/>
      <c r="D17" s="42"/>
      <c r="E17" s="42"/>
      <c r="F17" s="39"/>
      <c r="G17" s="12"/>
      <c r="H17" s="45"/>
      <c r="I17" s="25"/>
      <c r="J17" s="45"/>
      <c r="K17" s="14"/>
      <c r="M17" s="11" t="s">
        <v>299</v>
      </c>
      <c r="N17" s="11" t="str">
        <f>CONCATENATE(N12," | ",N15)</f>
        <v>BS2-3_ACN | AirBag</v>
      </c>
    </row>
    <row r="18" spans="2:14" ht="12" customHeight="1" x14ac:dyDescent="0.15">
      <c r="B18" s="48"/>
      <c r="C18" s="39"/>
      <c r="D18" s="42"/>
      <c r="E18" s="42"/>
      <c r="F18" s="39"/>
      <c r="G18" s="12"/>
      <c r="H18" s="45"/>
      <c r="I18" s="25"/>
      <c r="J18" s="45"/>
      <c r="K18" s="14"/>
      <c r="M18" s="11" t="s">
        <v>300</v>
      </c>
      <c r="N18" s="11" t="str">
        <f>VLOOKUP(N8,Resource!D:K,8,FALSE)</f>
        <v>myTimeKeeperDBMBDABG</v>
      </c>
    </row>
    <row r="19" spans="2:14" ht="12" customHeight="1" x14ac:dyDescent="0.15">
      <c r="B19" s="48"/>
      <c r="C19" s="39"/>
      <c r="D19" s="42"/>
      <c r="E19" s="42"/>
      <c r="F19" s="39"/>
      <c r="G19" s="12"/>
      <c r="H19" s="45"/>
      <c r="I19" s="25"/>
      <c r="J19" s="45"/>
      <c r="K19" s="14"/>
      <c r="M19" s="11" t="s">
        <v>301</v>
      </c>
      <c r="N19" s="11" t="str">
        <f>VLOOKUP(N8,Resource!D:L,9,FALSE)</f>
        <v>\\dtphsrv07\ACCENTURE\Common\03 Management Documents\02 Work Plan and Time Management\01 myTimeKeeper\01 Admin\00 DB\myTimeKeeperDBMBDABG.xls</v>
      </c>
    </row>
    <row r="20" spans="2:14" ht="12" customHeight="1" x14ac:dyDescent="0.15">
      <c r="B20" s="48"/>
      <c r="C20" s="39"/>
      <c r="D20" s="42"/>
      <c r="E20" s="42"/>
      <c r="F20" s="39"/>
      <c r="G20" s="12"/>
      <c r="H20" s="45"/>
      <c r="I20" s="25"/>
      <c r="J20" s="45"/>
      <c r="K20" s="14"/>
      <c r="M20" s="11" t="s">
        <v>302</v>
      </c>
      <c r="N20" s="11" t="str">
        <f>VLOOKUP(N8,Resource!D:M,10,FALSE)</f>
        <v>CreateBackupForMBDABG</v>
      </c>
    </row>
    <row r="21" spans="2:14" ht="12" customHeight="1" x14ac:dyDescent="0.15">
      <c r="B21" s="48"/>
      <c r="C21" s="39"/>
      <c r="D21" s="42"/>
      <c r="E21" s="42"/>
      <c r="F21" s="39"/>
      <c r="G21" s="12"/>
      <c r="H21" s="45"/>
      <c r="I21" s="25"/>
      <c r="J21" s="45"/>
      <c r="K21" s="14"/>
      <c r="M21" s="11" t="s">
        <v>303</v>
      </c>
      <c r="N21" s="78">
        <v>0.52083333333333337</v>
      </c>
    </row>
    <row r="22" spans="2:14" ht="12" customHeight="1" x14ac:dyDescent="0.15">
      <c r="B22" s="48"/>
      <c r="C22" s="39"/>
      <c r="D22" s="42"/>
      <c r="E22" s="42"/>
      <c r="F22" s="39"/>
      <c r="G22" s="12"/>
      <c r="H22" s="45"/>
      <c r="I22" s="25"/>
      <c r="J22" s="45"/>
      <c r="K22" s="14"/>
      <c r="N22" s="21"/>
    </row>
    <row r="23" spans="2:14" ht="12" customHeight="1" x14ac:dyDescent="0.15">
      <c r="B23" s="48"/>
      <c r="C23" s="39"/>
      <c r="D23" s="42"/>
      <c r="E23" s="42"/>
      <c r="F23" s="39"/>
      <c r="G23" s="12"/>
      <c r="H23" s="45"/>
      <c r="I23" s="25"/>
      <c r="J23" s="45"/>
      <c r="K23" s="14"/>
      <c r="N23" s="21"/>
    </row>
    <row r="24" spans="2:14" ht="12" customHeight="1" x14ac:dyDescent="0.15">
      <c r="B24" s="48"/>
      <c r="C24" s="39"/>
      <c r="D24" s="42"/>
      <c r="E24" s="42"/>
      <c r="F24" s="39"/>
      <c r="G24" s="12"/>
      <c r="H24" s="45"/>
      <c r="I24" s="25"/>
      <c r="J24" s="45"/>
      <c r="K24" s="14"/>
      <c r="N24" s="21"/>
    </row>
    <row r="25" spans="2:14" ht="12" customHeight="1" x14ac:dyDescent="0.15">
      <c r="B25" s="48"/>
      <c r="C25" s="39"/>
      <c r="D25" s="42"/>
      <c r="E25" s="42"/>
      <c r="F25" s="39"/>
      <c r="G25" s="12"/>
      <c r="H25" s="45"/>
      <c r="I25" s="25"/>
      <c r="J25" s="45"/>
      <c r="K25" s="14"/>
      <c r="N25" s="21"/>
    </row>
    <row r="26" spans="2:14" ht="12" customHeight="1" x14ac:dyDescent="0.15">
      <c r="B26" s="48"/>
      <c r="C26" s="39"/>
      <c r="D26" s="42"/>
      <c r="E26" s="42"/>
      <c r="F26" s="39"/>
      <c r="G26" s="12"/>
      <c r="H26" s="45"/>
      <c r="I26" s="25"/>
      <c r="J26" s="45"/>
      <c r="K26" s="14"/>
      <c r="N26" s="21"/>
    </row>
    <row r="27" spans="2:14" ht="12" customHeight="1" x14ac:dyDescent="0.15">
      <c r="B27" s="48"/>
      <c r="C27" s="39"/>
      <c r="D27" s="42"/>
      <c r="E27" s="42"/>
      <c r="F27" s="39"/>
      <c r="G27" s="12"/>
      <c r="H27" s="45"/>
      <c r="I27" s="25"/>
      <c r="J27" s="45"/>
      <c r="K27" s="14"/>
      <c r="N27" s="21"/>
    </row>
    <row r="28" spans="2:14" ht="12" customHeight="1" x14ac:dyDescent="0.15">
      <c r="B28" s="48"/>
      <c r="C28" s="39"/>
      <c r="D28" s="42"/>
      <c r="E28" s="42"/>
      <c r="F28" s="39"/>
      <c r="G28" s="12"/>
      <c r="H28" s="45"/>
      <c r="I28" s="25"/>
      <c r="J28" s="45"/>
      <c r="K28" s="14"/>
      <c r="N28" s="21"/>
    </row>
    <row r="29" spans="2:14" ht="12" customHeight="1" x14ac:dyDescent="0.15">
      <c r="B29" s="48"/>
      <c r="C29" s="39"/>
      <c r="D29" s="42"/>
      <c r="E29" s="42"/>
      <c r="F29" s="39"/>
      <c r="G29" s="12"/>
      <c r="H29" s="45"/>
      <c r="I29" s="25"/>
      <c r="J29" s="45"/>
      <c r="K29" s="14"/>
      <c r="N29" s="21"/>
    </row>
    <row r="30" spans="2:14" ht="12" customHeight="1" x14ac:dyDescent="0.15">
      <c r="B30" s="48"/>
      <c r="C30" s="39"/>
      <c r="D30" s="42"/>
      <c r="E30" s="42"/>
      <c r="F30" s="39"/>
      <c r="G30" s="12"/>
      <c r="H30" s="45"/>
      <c r="I30" s="25"/>
      <c r="J30" s="45"/>
      <c r="K30" s="14"/>
      <c r="N30" s="21"/>
    </row>
    <row r="31" spans="2:14" ht="12" customHeight="1" x14ac:dyDescent="0.15">
      <c r="B31" s="48"/>
      <c r="C31" s="39"/>
      <c r="D31" s="42"/>
      <c r="E31" s="42"/>
      <c r="F31" s="39"/>
      <c r="G31" s="12"/>
      <c r="H31" s="45"/>
      <c r="I31" s="25"/>
      <c r="J31" s="45"/>
      <c r="K31" s="14"/>
      <c r="N31" s="21"/>
    </row>
    <row r="32" spans="2:14" ht="12" customHeight="1" x14ac:dyDescent="0.15">
      <c r="B32" s="48"/>
      <c r="C32" s="39"/>
      <c r="D32" s="42"/>
      <c r="E32" s="42"/>
      <c r="F32" s="39"/>
      <c r="G32" s="12"/>
      <c r="H32" s="45"/>
      <c r="I32" s="25"/>
      <c r="J32" s="45"/>
      <c r="K32" s="14"/>
      <c r="N32" s="21"/>
    </row>
    <row r="33" spans="2:14" ht="12" customHeight="1" x14ac:dyDescent="0.15">
      <c r="B33" s="48"/>
      <c r="C33" s="39"/>
      <c r="D33" s="42"/>
      <c r="E33" s="42"/>
      <c r="F33" s="39"/>
      <c r="G33" s="12"/>
      <c r="H33" s="45"/>
      <c r="I33" s="25"/>
      <c r="J33" s="45"/>
      <c r="K33" s="14"/>
      <c r="N33" s="21"/>
    </row>
    <row r="34" spans="2:14" ht="12" customHeight="1" x14ac:dyDescent="0.15">
      <c r="B34" s="48"/>
      <c r="C34" s="39"/>
      <c r="D34" s="42"/>
      <c r="E34" s="42"/>
      <c r="F34" s="39"/>
      <c r="G34" s="12"/>
      <c r="H34" s="45"/>
      <c r="I34" s="25"/>
      <c r="J34" s="45"/>
      <c r="K34" s="14"/>
      <c r="N34" s="21"/>
    </row>
    <row r="35" spans="2:14" ht="12" customHeight="1" x14ac:dyDescent="0.15">
      <c r="B35" s="48"/>
      <c r="C35" s="39"/>
      <c r="D35" s="42"/>
      <c r="E35" s="42"/>
      <c r="F35" s="39"/>
      <c r="G35" s="12"/>
      <c r="H35" s="45"/>
      <c r="I35" s="25"/>
      <c r="J35" s="45"/>
      <c r="K35" s="14"/>
      <c r="N35" s="21"/>
    </row>
    <row r="36" spans="2:14" ht="12" customHeight="1" x14ac:dyDescent="0.15">
      <c r="B36" s="48"/>
      <c r="C36" s="39"/>
      <c r="D36" s="42"/>
      <c r="E36" s="42"/>
      <c r="F36" s="39"/>
      <c r="G36" s="12"/>
      <c r="H36" s="45"/>
      <c r="I36" s="25"/>
      <c r="J36" s="45"/>
      <c r="K36" s="14"/>
      <c r="N36" s="21"/>
    </row>
    <row r="37" spans="2:14" ht="12" customHeight="1" x14ac:dyDescent="0.15">
      <c r="B37" s="48"/>
      <c r="C37" s="39"/>
      <c r="D37" s="42"/>
      <c r="E37" s="42"/>
      <c r="F37" s="39"/>
      <c r="G37" s="12"/>
      <c r="H37" s="45"/>
      <c r="I37" s="25"/>
      <c r="J37" s="45"/>
      <c r="K37" s="14"/>
      <c r="N37" s="21"/>
    </row>
    <row r="38" spans="2:14" ht="12" customHeight="1" x14ac:dyDescent="0.15">
      <c r="B38" s="49"/>
      <c r="C38" s="40"/>
      <c r="D38" s="43"/>
      <c r="E38" s="43"/>
      <c r="F38" s="40"/>
      <c r="G38" s="23"/>
      <c r="H38" s="46"/>
      <c r="I38" s="26"/>
      <c r="J38" s="46"/>
      <c r="K38" s="24"/>
      <c r="N38" s="21"/>
    </row>
    <row r="39" spans="2:14" ht="12" customHeight="1" x14ac:dyDescent="0.15">
      <c r="B39" s="49"/>
      <c r="C39" s="40"/>
      <c r="D39" s="43"/>
      <c r="E39" s="43"/>
      <c r="F39" s="40"/>
      <c r="G39" s="23"/>
      <c r="H39" s="46"/>
      <c r="I39" s="26"/>
      <c r="J39" s="46"/>
      <c r="K39" s="24"/>
      <c r="N39" s="21"/>
    </row>
    <row r="40" spans="2:14" ht="12" customHeight="1" x14ac:dyDescent="0.15">
      <c r="B40" s="49"/>
      <c r="C40" s="40"/>
      <c r="D40" s="43"/>
      <c r="E40" s="43"/>
      <c r="F40" s="40"/>
      <c r="G40" s="23"/>
      <c r="H40" s="46"/>
      <c r="I40" s="26"/>
      <c r="J40" s="46"/>
      <c r="K40" s="24"/>
    </row>
    <row r="41" spans="2:14" ht="12" customHeight="1" x14ac:dyDescent="0.15">
      <c r="B41" s="49"/>
      <c r="C41" s="40"/>
      <c r="D41" s="43"/>
      <c r="E41" s="43"/>
      <c r="F41" s="40"/>
      <c r="G41" s="23"/>
      <c r="H41" s="46"/>
      <c r="I41" s="26"/>
      <c r="J41" s="46"/>
      <c r="K41" s="24"/>
    </row>
    <row r="42" spans="2:14" ht="12" customHeight="1" x14ac:dyDescent="0.15">
      <c r="B42" s="49"/>
      <c r="C42" s="40"/>
      <c r="D42" s="43"/>
      <c r="E42" s="43"/>
      <c r="F42" s="40"/>
      <c r="G42" s="23"/>
      <c r="H42" s="46"/>
      <c r="I42" s="26"/>
      <c r="J42" s="46"/>
      <c r="K42" s="24"/>
    </row>
    <row r="43" spans="2:14" ht="12" customHeight="1" x14ac:dyDescent="0.15">
      <c r="B43" s="49"/>
      <c r="C43" s="40"/>
      <c r="D43" s="43"/>
      <c r="E43" s="43"/>
      <c r="F43" s="40"/>
      <c r="G43" s="23"/>
      <c r="H43" s="46"/>
      <c r="I43" s="26"/>
      <c r="J43" s="46"/>
      <c r="K43" s="24"/>
    </row>
    <row r="44" spans="2:14" ht="12" customHeight="1" x14ac:dyDescent="0.15">
      <c r="B44" s="49"/>
      <c r="C44" s="40"/>
      <c r="D44" s="43"/>
      <c r="E44" s="43"/>
      <c r="F44" s="40"/>
      <c r="G44" s="23"/>
      <c r="H44" s="46"/>
      <c r="I44" s="26"/>
      <c r="J44" s="46"/>
      <c r="K44" s="24"/>
    </row>
    <row r="45" spans="2:14" ht="12" customHeight="1" x14ac:dyDescent="0.15">
      <c r="B45" s="49"/>
      <c r="C45" s="40"/>
      <c r="D45" s="43"/>
      <c r="E45" s="43"/>
      <c r="F45" s="40"/>
      <c r="G45" s="23"/>
      <c r="H45" s="46"/>
      <c r="I45" s="26"/>
      <c r="J45" s="46"/>
      <c r="K45" s="24"/>
    </row>
    <row r="46" spans="2:14" ht="12" customHeight="1" x14ac:dyDescent="0.15">
      <c r="B46" s="49"/>
      <c r="C46" s="40"/>
      <c r="D46" s="43"/>
      <c r="E46" s="43"/>
      <c r="F46" s="40"/>
      <c r="G46" s="23"/>
      <c r="H46" s="46"/>
      <c r="I46" s="26"/>
      <c r="J46" s="46"/>
      <c r="K46" s="24"/>
    </row>
    <row r="47" spans="2:14" ht="12" customHeight="1" x14ac:dyDescent="0.15">
      <c r="B47" s="49"/>
      <c r="C47" s="40"/>
      <c r="D47" s="43"/>
      <c r="E47" s="43"/>
      <c r="F47" s="40"/>
      <c r="G47" s="23"/>
      <c r="H47" s="46"/>
      <c r="I47" s="26"/>
      <c r="J47" s="46"/>
      <c r="K47" s="24"/>
    </row>
    <row r="48" spans="2:14" ht="12" customHeight="1" x14ac:dyDescent="0.15">
      <c r="B48" s="49"/>
      <c r="C48" s="40"/>
      <c r="D48" s="43"/>
      <c r="E48" s="43"/>
      <c r="F48" s="40"/>
      <c r="G48" s="23"/>
      <c r="H48" s="46"/>
      <c r="I48" s="26"/>
      <c r="J48" s="46"/>
      <c r="K48" s="24"/>
    </row>
    <row r="49" spans="2:11" ht="12" customHeight="1" x14ac:dyDescent="0.15">
      <c r="B49" s="49"/>
      <c r="C49" s="40"/>
      <c r="D49" s="43"/>
      <c r="E49" s="43"/>
      <c r="F49" s="40"/>
      <c r="G49" s="23"/>
      <c r="H49" s="46"/>
      <c r="I49" s="26"/>
      <c r="J49" s="46"/>
      <c r="K49" s="24"/>
    </row>
    <row r="50" spans="2:11" ht="12" customHeight="1" x14ac:dyDescent="0.15">
      <c r="B50" s="49"/>
      <c r="C50" s="40"/>
      <c r="D50" s="43"/>
      <c r="E50" s="43"/>
      <c r="F50" s="40"/>
      <c r="G50" s="23"/>
      <c r="H50" s="46"/>
      <c r="I50" s="26"/>
      <c r="J50" s="46"/>
      <c r="K50" s="24"/>
    </row>
    <row r="51" spans="2:11" ht="12" customHeight="1" x14ac:dyDescent="0.15">
      <c r="B51" s="49"/>
      <c r="C51" s="40"/>
      <c r="D51" s="43"/>
      <c r="E51" s="43"/>
      <c r="F51" s="40"/>
      <c r="G51" s="23"/>
      <c r="H51" s="46"/>
      <c r="I51" s="26"/>
      <c r="J51" s="46"/>
      <c r="K51" s="24"/>
    </row>
    <row r="52" spans="2:11" ht="12" customHeight="1" x14ac:dyDescent="0.15">
      <c r="B52" s="49"/>
      <c r="C52" s="40"/>
      <c r="D52" s="43"/>
      <c r="E52" s="43"/>
      <c r="F52" s="40"/>
      <c r="G52" s="23"/>
      <c r="H52" s="46"/>
      <c r="I52" s="26"/>
      <c r="J52" s="46"/>
      <c r="K52" s="24"/>
    </row>
    <row r="53" spans="2:11" ht="12" customHeight="1" x14ac:dyDescent="0.15">
      <c r="B53" s="49"/>
      <c r="C53" s="40"/>
      <c r="D53" s="43"/>
      <c r="E53" s="43"/>
      <c r="F53" s="40"/>
      <c r="G53" s="23"/>
      <c r="H53" s="46"/>
      <c r="I53" s="26"/>
      <c r="J53" s="46"/>
      <c r="K53" s="24"/>
    </row>
    <row r="54" spans="2:11" ht="12" customHeight="1" x14ac:dyDescent="0.15">
      <c r="B54" s="49"/>
      <c r="C54" s="40"/>
      <c r="D54" s="43"/>
      <c r="E54" s="43"/>
      <c r="F54" s="40"/>
      <c r="G54" s="23"/>
      <c r="H54" s="46"/>
      <c r="I54" s="26"/>
      <c r="J54" s="46"/>
      <c r="K54" s="24"/>
    </row>
    <row r="55" spans="2:11" ht="12" customHeight="1" x14ac:dyDescent="0.15">
      <c r="B55" s="49"/>
      <c r="C55" s="40"/>
      <c r="D55" s="43"/>
      <c r="E55" s="43"/>
      <c r="F55" s="40"/>
      <c r="G55" s="23"/>
      <c r="H55" s="46"/>
      <c r="I55" s="26"/>
      <c r="J55" s="46"/>
      <c r="K55" s="24"/>
    </row>
    <row r="56" spans="2:11" ht="12" customHeight="1" x14ac:dyDescent="0.15">
      <c r="B56" s="49"/>
      <c r="C56" s="40"/>
      <c r="D56" s="43"/>
      <c r="E56" s="43"/>
      <c r="F56" s="40"/>
      <c r="G56" s="23"/>
      <c r="H56" s="46"/>
      <c r="I56" s="26"/>
      <c r="J56" s="46"/>
      <c r="K56" s="24"/>
    </row>
    <row r="57" spans="2:11" ht="12" customHeight="1" x14ac:dyDescent="0.15">
      <c r="B57" s="49"/>
      <c r="C57" s="40"/>
      <c r="D57" s="43"/>
      <c r="E57" s="43"/>
      <c r="F57" s="40"/>
      <c r="G57" s="23"/>
      <c r="H57" s="46"/>
      <c r="I57" s="26"/>
      <c r="J57" s="46"/>
      <c r="K57" s="24"/>
    </row>
    <row r="58" spans="2:11" ht="12" customHeight="1" x14ac:dyDescent="0.15">
      <c r="B58" s="49"/>
      <c r="C58" s="40"/>
      <c r="D58" s="43"/>
      <c r="E58" s="43"/>
      <c r="F58" s="40"/>
      <c r="G58" s="23"/>
      <c r="H58" s="46"/>
      <c r="I58" s="26"/>
      <c r="J58" s="46"/>
      <c r="K58" s="24"/>
    </row>
    <row r="59" spans="2:11" ht="12" customHeight="1" x14ac:dyDescent="0.15">
      <c r="B59" s="49"/>
      <c r="C59" s="40"/>
      <c r="D59" s="43"/>
      <c r="E59" s="43"/>
      <c r="F59" s="40"/>
      <c r="G59" s="23"/>
      <c r="H59" s="46"/>
      <c r="I59" s="26"/>
      <c r="J59" s="46"/>
      <c r="K59" s="24"/>
    </row>
    <row r="60" spans="2:11" ht="12" customHeight="1" x14ac:dyDescent="0.15">
      <c r="B60" s="49"/>
      <c r="C60" s="40"/>
      <c r="D60" s="43"/>
      <c r="E60" s="43"/>
      <c r="F60" s="40"/>
      <c r="G60" s="23"/>
      <c r="H60" s="46"/>
      <c r="I60" s="26"/>
      <c r="J60" s="46"/>
      <c r="K60" s="24"/>
    </row>
    <row r="61" spans="2:11" ht="12" customHeight="1" x14ac:dyDescent="0.15">
      <c r="B61" s="49"/>
      <c r="C61" s="40"/>
      <c r="D61" s="43"/>
      <c r="E61" s="43"/>
      <c r="F61" s="40"/>
      <c r="G61" s="23"/>
      <c r="H61" s="46"/>
      <c r="I61" s="26"/>
      <c r="J61" s="46"/>
      <c r="K61" s="24"/>
    </row>
    <row r="62" spans="2:11" ht="12" customHeight="1" x14ac:dyDescent="0.15">
      <c r="B62" s="49"/>
      <c r="C62" s="40"/>
      <c r="D62" s="43"/>
      <c r="E62" s="43"/>
      <c r="F62" s="40"/>
      <c r="G62" s="23"/>
      <c r="H62" s="46"/>
      <c r="I62" s="26"/>
      <c r="J62" s="46"/>
      <c r="K62" s="24"/>
    </row>
    <row r="63" spans="2:11" ht="12" customHeight="1" x14ac:dyDescent="0.15">
      <c r="B63" s="49"/>
      <c r="C63" s="40"/>
      <c r="D63" s="43"/>
      <c r="E63" s="43"/>
      <c r="F63" s="40"/>
      <c r="G63" s="23"/>
      <c r="H63" s="46"/>
      <c r="I63" s="26"/>
      <c r="J63" s="46"/>
      <c r="K63" s="24"/>
    </row>
    <row r="64" spans="2:11" ht="12" customHeight="1" x14ac:dyDescent="0.15">
      <c r="B64" s="49"/>
      <c r="C64" s="40"/>
      <c r="D64" s="43"/>
      <c r="E64" s="43"/>
      <c r="F64" s="40"/>
      <c r="G64" s="23"/>
      <c r="H64" s="46"/>
      <c r="I64" s="26"/>
      <c r="J64" s="46"/>
      <c r="K64" s="24"/>
    </row>
    <row r="65" spans="2:11" ht="12" customHeight="1" x14ac:dyDescent="0.15">
      <c r="B65" s="49"/>
      <c r="C65" s="40"/>
      <c r="D65" s="43"/>
      <c r="E65" s="43"/>
      <c r="F65" s="40"/>
      <c r="G65" s="23"/>
      <c r="H65" s="46"/>
      <c r="I65" s="26"/>
      <c r="J65" s="46"/>
      <c r="K65" s="24"/>
    </row>
    <row r="66" spans="2:11" ht="12" customHeight="1" x14ac:dyDescent="0.15">
      <c r="B66" s="49"/>
      <c r="C66" s="40"/>
      <c r="D66" s="43"/>
      <c r="E66" s="43"/>
      <c r="F66" s="40"/>
      <c r="G66" s="23"/>
      <c r="H66" s="46"/>
      <c r="I66" s="26"/>
      <c r="J66" s="46"/>
      <c r="K66" s="24"/>
    </row>
    <row r="67" spans="2:11" ht="12" customHeight="1" x14ac:dyDescent="0.15">
      <c r="B67" s="49"/>
      <c r="C67" s="40"/>
      <c r="D67" s="43"/>
      <c r="E67" s="43"/>
      <c r="F67" s="40"/>
      <c r="G67" s="23"/>
      <c r="H67" s="46"/>
      <c r="I67" s="26"/>
      <c r="J67" s="46"/>
      <c r="K67" s="24"/>
    </row>
    <row r="68" spans="2:11" ht="12" customHeight="1" x14ac:dyDescent="0.15">
      <c r="B68" s="49"/>
      <c r="C68" s="40"/>
      <c r="D68" s="43"/>
      <c r="E68" s="43"/>
      <c r="F68" s="40"/>
      <c r="G68" s="23"/>
      <c r="H68" s="46"/>
      <c r="I68" s="26"/>
      <c r="J68" s="46"/>
      <c r="K68" s="24"/>
    </row>
    <row r="69" spans="2:11" ht="12" customHeight="1" x14ac:dyDescent="0.15">
      <c r="B69" s="49"/>
      <c r="C69" s="40"/>
      <c r="D69" s="43"/>
      <c r="E69" s="43"/>
      <c r="F69" s="40"/>
      <c r="G69" s="23"/>
      <c r="H69" s="46"/>
      <c r="I69" s="26"/>
      <c r="J69" s="46"/>
      <c r="K69" s="24"/>
    </row>
    <row r="70" spans="2:11" ht="12" customHeight="1" x14ac:dyDescent="0.15">
      <c r="B70" s="49"/>
      <c r="C70" s="40"/>
      <c r="D70" s="43"/>
      <c r="E70" s="43"/>
      <c r="F70" s="40"/>
      <c r="G70" s="23"/>
      <c r="H70" s="46"/>
      <c r="I70" s="26"/>
      <c r="J70" s="46"/>
      <c r="K70" s="24"/>
    </row>
    <row r="71" spans="2:11" ht="12" customHeight="1" x14ac:dyDescent="0.15">
      <c r="B71" s="49"/>
      <c r="C71" s="40"/>
      <c r="D71" s="43"/>
      <c r="E71" s="43"/>
      <c r="F71" s="40"/>
      <c r="G71" s="23"/>
      <c r="H71" s="46"/>
      <c r="I71" s="26"/>
      <c r="J71" s="46"/>
      <c r="K71" s="24"/>
    </row>
    <row r="72" spans="2:11" ht="12" customHeight="1" x14ac:dyDescent="0.15">
      <c r="B72" s="49"/>
      <c r="C72" s="40"/>
      <c r="D72" s="43"/>
      <c r="E72" s="43"/>
      <c r="F72" s="40"/>
      <c r="G72" s="23"/>
      <c r="H72" s="46"/>
      <c r="I72" s="26"/>
      <c r="J72" s="46"/>
      <c r="K72" s="24"/>
    </row>
    <row r="73" spans="2:11" ht="12" customHeight="1" x14ac:dyDescent="0.15">
      <c r="B73" s="49"/>
      <c r="C73" s="40"/>
      <c r="D73" s="43"/>
      <c r="E73" s="43"/>
      <c r="F73" s="40"/>
      <c r="G73" s="23"/>
      <c r="H73" s="46"/>
      <c r="I73" s="26"/>
      <c r="J73" s="46"/>
      <c r="K73" s="24"/>
    </row>
    <row r="74" spans="2:11" ht="12" customHeight="1" x14ac:dyDescent="0.15">
      <c r="B74" s="49"/>
      <c r="C74" s="40"/>
      <c r="D74" s="43"/>
      <c r="E74" s="43"/>
      <c r="F74" s="40"/>
      <c r="G74" s="23"/>
      <c r="H74" s="46"/>
      <c r="I74" s="26"/>
      <c r="J74" s="46"/>
      <c r="K74" s="24"/>
    </row>
    <row r="75" spans="2:11" ht="12" customHeight="1" x14ac:dyDescent="0.15">
      <c r="B75" s="49"/>
      <c r="C75" s="40"/>
      <c r="D75" s="43"/>
      <c r="E75" s="43"/>
      <c r="F75" s="40"/>
      <c r="G75" s="23"/>
      <c r="H75" s="46"/>
      <c r="I75" s="26"/>
      <c r="J75" s="46"/>
      <c r="K75" s="24"/>
    </row>
    <row r="76" spans="2:11" ht="12" customHeight="1" x14ac:dyDescent="0.15">
      <c r="B76" s="49"/>
      <c r="C76" s="40"/>
      <c r="D76" s="43"/>
      <c r="E76" s="43"/>
      <c r="F76" s="40"/>
      <c r="G76" s="23"/>
      <c r="H76" s="46"/>
      <c r="I76" s="26"/>
      <c r="J76" s="46"/>
      <c r="K76" s="24"/>
    </row>
    <row r="77" spans="2:11" ht="12" customHeight="1" x14ac:dyDescent="0.15">
      <c r="B77" s="49"/>
      <c r="C77" s="40"/>
      <c r="D77" s="43"/>
      <c r="E77" s="43"/>
      <c r="F77" s="40"/>
      <c r="G77" s="23"/>
      <c r="H77" s="46"/>
      <c r="I77" s="26"/>
      <c r="J77" s="46"/>
      <c r="K77" s="24"/>
    </row>
    <row r="78" spans="2:11" ht="12" customHeight="1" x14ac:dyDescent="0.15">
      <c r="B78" s="49"/>
      <c r="C78" s="40"/>
      <c r="D78" s="43"/>
      <c r="E78" s="43"/>
      <c r="F78" s="40"/>
      <c r="G78" s="23"/>
      <c r="H78" s="46"/>
      <c r="I78" s="26"/>
      <c r="J78" s="46"/>
      <c r="K78" s="24"/>
    </row>
    <row r="79" spans="2:11" ht="12" customHeight="1" x14ac:dyDescent="0.15">
      <c r="B79" s="49"/>
      <c r="C79" s="40"/>
      <c r="D79" s="43"/>
      <c r="E79" s="43"/>
      <c r="F79" s="40"/>
      <c r="G79" s="23"/>
      <c r="H79" s="46"/>
      <c r="I79" s="26"/>
      <c r="J79" s="46"/>
      <c r="K79" s="24"/>
    </row>
    <row r="80" spans="2:11" ht="12" customHeight="1" x14ac:dyDescent="0.15">
      <c r="B80" s="49"/>
      <c r="C80" s="40"/>
      <c r="D80" s="43"/>
      <c r="E80" s="43"/>
      <c r="F80" s="40"/>
      <c r="G80" s="23"/>
      <c r="H80" s="46"/>
      <c r="I80" s="26"/>
      <c r="J80" s="46"/>
      <c r="K80" s="24"/>
    </row>
    <row r="81" spans="2:11" ht="12" customHeight="1" x14ac:dyDescent="0.15">
      <c r="B81" s="49"/>
      <c r="C81" s="40"/>
      <c r="D81" s="43"/>
      <c r="E81" s="43"/>
      <c r="F81" s="40"/>
      <c r="G81" s="23"/>
      <c r="H81" s="46"/>
      <c r="I81" s="26"/>
      <c r="J81" s="46"/>
      <c r="K81" s="24"/>
    </row>
    <row r="82" spans="2:11" ht="12" customHeight="1" x14ac:dyDescent="0.15">
      <c r="B82" s="49"/>
      <c r="C82" s="40"/>
      <c r="D82" s="43"/>
      <c r="E82" s="43"/>
      <c r="F82" s="40"/>
      <c r="G82" s="23"/>
      <c r="H82" s="46"/>
      <c r="I82" s="26"/>
      <c r="J82" s="46"/>
      <c r="K82" s="24"/>
    </row>
    <row r="83" spans="2:11" ht="12" customHeight="1" x14ac:dyDescent="0.15">
      <c r="B83" s="49"/>
      <c r="C83" s="40"/>
      <c r="D83" s="43"/>
      <c r="E83" s="43"/>
      <c r="F83" s="40"/>
      <c r="G83" s="23"/>
      <c r="H83" s="46"/>
      <c r="I83" s="26"/>
      <c r="J83" s="46"/>
      <c r="K83" s="24"/>
    </row>
    <row r="84" spans="2:11" ht="12" customHeight="1" x14ac:dyDescent="0.15">
      <c r="B84" s="49"/>
      <c r="C84" s="40"/>
      <c r="D84" s="43"/>
      <c r="E84" s="43"/>
      <c r="F84" s="40"/>
      <c r="G84" s="23"/>
      <c r="H84" s="46"/>
      <c r="I84" s="26"/>
      <c r="J84" s="46"/>
      <c r="K84" s="24"/>
    </row>
    <row r="85" spans="2:11" ht="12" customHeight="1" x14ac:dyDescent="0.15">
      <c r="B85" s="49"/>
      <c r="C85" s="40"/>
      <c r="D85" s="43"/>
      <c r="E85" s="43"/>
      <c r="F85" s="40"/>
      <c r="G85" s="23"/>
      <c r="H85" s="46"/>
      <c r="I85" s="26"/>
      <c r="J85" s="46"/>
      <c r="K85" s="24"/>
    </row>
    <row r="86" spans="2:11" ht="12" customHeight="1" x14ac:dyDescent="0.15">
      <c r="B86" s="49"/>
      <c r="C86" s="40"/>
      <c r="D86" s="43"/>
      <c r="E86" s="43"/>
      <c r="F86" s="40"/>
      <c r="G86" s="23"/>
      <c r="H86" s="46"/>
      <c r="I86" s="26"/>
      <c r="J86" s="46"/>
      <c r="K86" s="24"/>
    </row>
    <row r="87" spans="2:11" ht="12" customHeight="1" x14ac:dyDescent="0.15">
      <c r="B87" s="49"/>
      <c r="C87" s="40"/>
      <c r="D87" s="43"/>
      <c r="E87" s="43"/>
      <c r="F87" s="40"/>
      <c r="G87" s="23"/>
      <c r="H87" s="46"/>
      <c r="I87" s="26"/>
      <c r="J87" s="46"/>
      <c r="K87" s="24"/>
    </row>
    <row r="88" spans="2:11" ht="12" customHeight="1" x14ac:dyDescent="0.15">
      <c r="B88" s="49"/>
      <c r="C88" s="40"/>
      <c r="D88" s="43"/>
      <c r="E88" s="43"/>
      <c r="F88" s="40"/>
      <c r="G88" s="23"/>
      <c r="H88" s="46"/>
      <c r="I88" s="26"/>
      <c r="J88" s="46"/>
      <c r="K88" s="24"/>
    </row>
    <row r="89" spans="2:11" ht="12" customHeight="1" x14ac:dyDescent="0.15">
      <c r="B89" s="49"/>
      <c r="C89" s="40"/>
      <c r="D89" s="43"/>
      <c r="E89" s="43"/>
      <c r="F89" s="40"/>
      <c r="G89" s="23"/>
      <c r="H89" s="46"/>
      <c r="I89" s="26"/>
      <c r="J89" s="46"/>
      <c r="K89" s="24"/>
    </row>
    <row r="90" spans="2:11" ht="12" customHeight="1" x14ac:dyDescent="0.15">
      <c r="B90" s="49"/>
      <c r="C90" s="40"/>
      <c r="D90" s="43"/>
      <c r="E90" s="43"/>
      <c r="F90" s="40"/>
      <c r="G90" s="23"/>
      <c r="H90" s="46"/>
      <c r="I90" s="26"/>
      <c r="J90" s="46"/>
      <c r="K90" s="24"/>
    </row>
    <row r="91" spans="2:11" ht="12" customHeight="1" x14ac:dyDescent="0.15">
      <c r="B91" s="49"/>
      <c r="C91" s="40"/>
      <c r="D91" s="43"/>
      <c r="E91" s="43"/>
      <c r="F91" s="40"/>
      <c r="G91" s="23"/>
      <c r="H91" s="46"/>
      <c r="I91" s="26"/>
      <c r="J91" s="46"/>
      <c r="K91" s="24"/>
    </row>
    <row r="92" spans="2:11" ht="12" customHeight="1" x14ac:dyDescent="0.15">
      <c r="B92" s="49"/>
      <c r="C92" s="40"/>
      <c r="D92" s="43"/>
      <c r="E92" s="43"/>
      <c r="F92" s="40"/>
      <c r="G92" s="23"/>
      <c r="H92" s="46"/>
      <c r="I92" s="26"/>
      <c r="J92" s="46"/>
      <c r="K92" s="24"/>
    </row>
    <row r="93" spans="2:11" ht="12" customHeight="1" x14ac:dyDescent="0.15">
      <c r="B93" s="49"/>
      <c r="C93" s="40"/>
      <c r="D93" s="43"/>
      <c r="E93" s="43"/>
      <c r="F93" s="40"/>
      <c r="G93" s="23"/>
      <c r="H93" s="46"/>
      <c r="I93" s="26"/>
      <c r="J93" s="46"/>
      <c r="K93" s="24"/>
    </row>
    <row r="94" spans="2:11" ht="12" customHeight="1" x14ac:dyDescent="0.15">
      <c r="B94" s="49"/>
      <c r="C94" s="40"/>
      <c r="D94" s="43"/>
      <c r="E94" s="43"/>
      <c r="F94" s="40"/>
      <c r="G94" s="23"/>
      <c r="H94" s="46"/>
      <c r="I94" s="26"/>
      <c r="J94" s="46"/>
      <c r="K94" s="24"/>
    </row>
    <row r="95" spans="2:11" ht="12" customHeight="1" x14ac:dyDescent="0.15">
      <c r="B95" s="49"/>
      <c r="C95" s="40"/>
      <c r="D95" s="43"/>
      <c r="E95" s="43"/>
      <c r="F95" s="40"/>
      <c r="G95" s="23"/>
      <c r="H95" s="46"/>
      <c r="I95" s="26"/>
      <c r="J95" s="46"/>
      <c r="K95" s="24"/>
    </row>
    <row r="96" spans="2:11" ht="12" customHeight="1" x14ac:dyDescent="0.15">
      <c r="B96" s="49"/>
      <c r="C96" s="40"/>
      <c r="D96" s="43"/>
      <c r="E96" s="43"/>
      <c r="F96" s="40"/>
      <c r="G96" s="23"/>
      <c r="H96" s="46"/>
      <c r="I96" s="26"/>
      <c r="J96" s="46"/>
      <c r="K96" s="24"/>
    </row>
    <row r="97" spans="2:11" ht="12" customHeight="1" thickBot="1" x14ac:dyDescent="0.2">
      <c r="B97" s="50"/>
      <c r="C97" s="41"/>
      <c r="D97" s="44"/>
      <c r="E97" s="44"/>
      <c r="F97" s="41"/>
      <c r="G97" s="13"/>
      <c r="H97" s="47"/>
      <c r="I97" s="27"/>
      <c r="J97" s="47"/>
      <c r="K97" s="15"/>
    </row>
    <row r="98" spans="2:11" ht="12" customHeight="1" x14ac:dyDescent="0.15">
      <c r="B98" s="21"/>
      <c r="C98" s="19"/>
      <c r="D98" s="18"/>
      <c r="E98" s="18"/>
      <c r="F98" s="19"/>
      <c r="G98" s="19"/>
      <c r="H98" s="20"/>
      <c r="I98" s="20"/>
      <c r="J98" s="18"/>
      <c r="K98" s="18"/>
    </row>
    <row r="99" spans="2:11" ht="12" customHeight="1" x14ac:dyDescent="0.15">
      <c r="B99" s="11"/>
      <c r="C99" s="19"/>
      <c r="D99" s="18"/>
      <c r="E99" s="18"/>
      <c r="F99" s="19"/>
      <c r="G99" s="19"/>
      <c r="H99" s="20"/>
      <c r="I99" s="20"/>
      <c r="J99" s="18"/>
      <c r="K99" s="18"/>
    </row>
    <row r="100" spans="2:11" ht="12" customHeight="1" x14ac:dyDescent="0.15">
      <c r="B100" s="11"/>
      <c r="C100" s="19"/>
      <c r="D100" s="18"/>
      <c r="E100" s="18"/>
      <c r="F100" s="19"/>
      <c r="G100" s="19"/>
      <c r="H100" s="20"/>
      <c r="I100" s="20"/>
      <c r="J100" s="18"/>
      <c r="K100" s="18"/>
    </row>
    <row r="101" spans="2:11" ht="12" hidden="1" customHeight="1" x14ac:dyDescent="0.15"/>
    <row r="102" spans="2:11" ht="12" hidden="1" customHeight="1" x14ac:dyDescent="0.15"/>
    <row r="103" spans="2:11" ht="12" hidden="1" customHeight="1" x14ac:dyDescent="0.15"/>
    <row r="104" spans="2:11" ht="12" hidden="1" customHeight="1" x14ac:dyDescent="0.15"/>
    <row r="105" spans="2:11" ht="12" hidden="1" customHeight="1" x14ac:dyDescent="0.15"/>
    <row r="106" spans="2:11" ht="12" hidden="1" customHeight="1" x14ac:dyDescent="0.15"/>
    <row r="107" spans="2:11" ht="12" hidden="1" customHeight="1" x14ac:dyDescent="0.15"/>
    <row r="108" spans="2:11" ht="12" hidden="1" customHeight="1" x14ac:dyDescent="0.15"/>
    <row r="109" spans="2:11" ht="12" hidden="1" customHeight="1" x14ac:dyDescent="0.15"/>
    <row r="110" spans="2:11" ht="12" hidden="1" customHeight="1" x14ac:dyDescent="0.15"/>
    <row r="111" spans="2:11" ht="12" hidden="1" customHeight="1" x14ac:dyDescent="0.15"/>
    <row r="112" spans="2:11" ht="12" hidden="1" customHeight="1" x14ac:dyDescent="0.15"/>
    <row r="113" ht="12" hidden="1" customHeight="1" x14ac:dyDescent="0.15"/>
    <row r="114" ht="12" hidden="1" customHeight="1" x14ac:dyDescent="0.15"/>
    <row r="115" ht="12" hidden="1" customHeight="1" x14ac:dyDescent="0.15"/>
    <row r="116" ht="12" hidden="1" customHeight="1" x14ac:dyDescent="0.15"/>
    <row r="117" ht="12" hidden="1" customHeight="1" x14ac:dyDescent="0.15"/>
    <row r="118" ht="12" hidden="1" customHeight="1" x14ac:dyDescent="0.15"/>
    <row r="119" ht="12" hidden="1" customHeight="1" x14ac:dyDescent="0.15"/>
    <row r="120" ht="12" hidden="1" customHeight="1" x14ac:dyDescent="0.15"/>
    <row r="121" ht="12" hidden="1" customHeight="1" x14ac:dyDescent="0.15"/>
    <row r="122" ht="12" hidden="1" customHeight="1" x14ac:dyDescent="0.15"/>
    <row r="123" ht="12" hidden="1" customHeight="1" x14ac:dyDescent="0.15"/>
    <row r="124" ht="12" hidden="1" customHeight="1" x14ac:dyDescent="0.15"/>
    <row r="125" ht="12" hidden="1" customHeight="1" x14ac:dyDescent="0.15"/>
    <row r="126" ht="12" hidden="1" customHeight="1" x14ac:dyDescent="0.15"/>
    <row r="127" ht="12" hidden="1" customHeight="1" x14ac:dyDescent="0.15"/>
    <row r="128" ht="12" hidden="1" customHeight="1" x14ac:dyDescent="0.15"/>
    <row r="129" ht="12" hidden="1" customHeight="1" x14ac:dyDescent="0.15"/>
    <row r="130" ht="12" hidden="1" customHeight="1" x14ac:dyDescent="0.15"/>
    <row r="131" ht="12" hidden="1" customHeight="1" x14ac:dyDescent="0.15"/>
    <row r="132" ht="12" hidden="1" customHeight="1" x14ac:dyDescent="0.15"/>
    <row r="133" ht="12" hidden="1" customHeight="1" x14ac:dyDescent="0.15"/>
    <row r="134" ht="12" hidden="1" customHeight="1" x14ac:dyDescent="0.15"/>
    <row r="135" ht="12" hidden="1" customHeight="1" x14ac:dyDescent="0.15"/>
    <row r="136" ht="12" hidden="1" customHeight="1" x14ac:dyDescent="0.15"/>
    <row r="137" ht="12" hidden="1" customHeight="1" x14ac:dyDescent="0.15"/>
    <row r="138" ht="12" hidden="1" customHeight="1" x14ac:dyDescent="0.15"/>
    <row r="139" ht="12" hidden="1" customHeight="1" x14ac:dyDescent="0.15"/>
    <row r="140" ht="12" hidden="1" customHeight="1" x14ac:dyDescent="0.15"/>
    <row r="141" ht="12" hidden="1" customHeight="1" x14ac:dyDescent="0.15"/>
    <row r="142" ht="12" hidden="1" customHeight="1" x14ac:dyDescent="0.15"/>
    <row r="143" ht="12" hidden="1" customHeight="1" x14ac:dyDescent="0.15"/>
    <row r="144" ht="12" hidden="1" customHeight="1" x14ac:dyDescent="0.15"/>
    <row r="145" ht="12" hidden="1" customHeight="1" x14ac:dyDescent="0.15"/>
    <row r="146" ht="12" hidden="1" customHeight="1" x14ac:dyDescent="0.15"/>
    <row r="147" ht="12" hidden="1" customHeight="1" x14ac:dyDescent="0.15"/>
    <row r="148" ht="12" hidden="1" customHeight="1" x14ac:dyDescent="0.15"/>
    <row r="149" ht="12" hidden="1" customHeight="1" x14ac:dyDescent="0.15"/>
    <row r="150" ht="12" hidden="1" customHeight="1" x14ac:dyDescent="0.15"/>
    <row r="151" ht="12" hidden="1" customHeight="1" x14ac:dyDescent="0.15"/>
    <row r="152" ht="12" hidden="1" customHeight="1" x14ac:dyDescent="0.15"/>
    <row r="153" ht="12" hidden="1" customHeight="1" x14ac:dyDescent="0.15"/>
    <row r="154" ht="12" hidden="1" customHeight="1" x14ac:dyDescent="0.15"/>
    <row r="155" ht="12" hidden="1" customHeight="1" x14ac:dyDescent="0.15"/>
    <row r="156" ht="12" hidden="1" customHeight="1" x14ac:dyDescent="0.15"/>
    <row r="157" ht="12" hidden="1" customHeight="1" x14ac:dyDescent="0.15"/>
    <row r="158" ht="12" hidden="1" customHeight="1" x14ac:dyDescent="0.15"/>
    <row r="159" ht="12" hidden="1" customHeight="1" x14ac:dyDescent="0.15"/>
    <row r="160" ht="12" hidden="1" customHeight="1" x14ac:dyDescent="0.15"/>
    <row r="161" ht="12" hidden="1" customHeight="1" x14ac:dyDescent="0.15"/>
    <row r="162" ht="12" hidden="1" customHeight="1" x14ac:dyDescent="0.15"/>
    <row r="163" ht="12" hidden="1" customHeight="1" x14ac:dyDescent="0.15"/>
    <row r="164" ht="12" hidden="1" customHeight="1" x14ac:dyDescent="0.15"/>
    <row r="165" ht="12" hidden="1" customHeight="1" x14ac:dyDescent="0.15"/>
    <row r="166" ht="12" hidden="1" customHeight="1" x14ac:dyDescent="0.15"/>
    <row r="167" ht="12" hidden="1" customHeight="1" x14ac:dyDescent="0.15"/>
    <row r="168" ht="12" hidden="1" customHeight="1" x14ac:dyDescent="0.15"/>
    <row r="169" ht="12" hidden="1" customHeight="1" x14ac:dyDescent="0.15"/>
    <row r="170" ht="12" hidden="1" customHeight="1" x14ac:dyDescent="0.15"/>
    <row r="171" ht="12" hidden="1" customHeight="1" x14ac:dyDescent="0.15"/>
    <row r="172" ht="12" hidden="1" customHeight="1" x14ac:dyDescent="0.15"/>
    <row r="173" ht="12" hidden="1" customHeight="1" x14ac:dyDescent="0.15"/>
    <row r="174" ht="12" hidden="1" customHeight="1" x14ac:dyDescent="0.15"/>
    <row r="175" ht="12" hidden="1" customHeight="1" x14ac:dyDescent="0.15"/>
    <row r="176" ht="12" hidden="1" customHeight="1" x14ac:dyDescent="0.15"/>
    <row r="177" ht="12" hidden="1" customHeight="1" x14ac:dyDescent="0.15"/>
    <row r="178" ht="12" hidden="1" customHeight="1" x14ac:dyDescent="0.15"/>
    <row r="179" ht="12" hidden="1" customHeight="1" x14ac:dyDescent="0.15"/>
    <row r="180" ht="12" hidden="1" customHeight="1" x14ac:dyDescent="0.15"/>
    <row r="181" ht="12" hidden="1" customHeight="1" x14ac:dyDescent="0.15"/>
    <row r="182" ht="12" hidden="1" customHeight="1" x14ac:dyDescent="0.15"/>
    <row r="183" ht="12" hidden="1" customHeight="1" x14ac:dyDescent="0.15"/>
    <row r="184" ht="12" hidden="1" customHeight="1" x14ac:dyDescent="0.15"/>
    <row r="185" ht="12" hidden="1" customHeight="1" x14ac:dyDescent="0.15"/>
    <row r="186" ht="12" hidden="1" customHeight="1" x14ac:dyDescent="0.15"/>
    <row r="187" ht="12" hidden="1" customHeight="1" x14ac:dyDescent="0.15"/>
    <row r="188" ht="12" hidden="1" customHeight="1" x14ac:dyDescent="0.15"/>
    <row r="189" ht="12" hidden="1" customHeight="1" x14ac:dyDescent="0.15"/>
    <row r="190" ht="12" hidden="1" customHeight="1" x14ac:dyDescent="0.15"/>
    <row r="191" ht="12" hidden="1" customHeight="1" x14ac:dyDescent="0.15"/>
    <row r="192" ht="12" hidden="1" customHeight="1" x14ac:dyDescent="0.15"/>
    <row r="193" ht="12" hidden="1" customHeight="1" x14ac:dyDescent="0.15"/>
    <row r="194" ht="12" hidden="1" customHeight="1" x14ac:dyDescent="0.15"/>
    <row r="195" ht="12" hidden="1" customHeight="1" x14ac:dyDescent="0.15"/>
    <row r="196" ht="12" hidden="1" customHeight="1" x14ac:dyDescent="0.15"/>
    <row r="197" ht="12" hidden="1" customHeight="1" x14ac:dyDescent="0.15"/>
    <row r="198" ht="12" hidden="1" customHeight="1" x14ac:dyDescent="0.15"/>
    <row r="199" ht="12" hidden="1" customHeight="1" x14ac:dyDescent="0.15"/>
    <row r="200" ht="12" hidden="1" customHeight="1" x14ac:dyDescent="0.15"/>
    <row r="201" ht="12" hidden="1" customHeight="1" x14ac:dyDescent="0.15"/>
    <row r="202" ht="12" hidden="1" customHeight="1" x14ac:dyDescent="0.15"/>
    <row r="203" ht="12" hidden="1" customHeight="1" x14ac:dyDescent="0.15"/>
    <row r="204" ht="12" hidden="1" customHeight="1" x14ac:dyDescent="0.15"/>
    <row r="205" ht="12" hidden="1" customHeight="1" x14ac:dyDescent="0.15"/>
    <row r="206" ht="12" hidden="1" customHeight="1" x14ac:dyDescent="0.15"/>
    <row r="207" ht="12" hidden="1" customHeight="1" x14ac:dyDescent="0.15"/>
    <row r="208" ht="12" hidden="1" customHeight="1" x14ac:dyDescent="0.15"/>
    <row r="209" ht="12" hidden="1" customHeight="1" x14ac:dyDescent="0.15"/>
    <row r="210" ht="12" hidden="1" customHeight="1" x14ac:dyDescent="0.15"/>
    <row r="211" ht="12" hidden="1" customHeight="1" x14ac:dyDescent="0.15"/>
    <row r="212" ht="12" hidden="1" customHeight="1" x14ac:dyDescent="0.15"/>
    <row r="213" ht="12" hidden="1" customHeight="1" x14ac:dyDescent="0.15"/>
    <row r="214" ht="12" hidden="1" customHeight="1" x14ac:dyDescent="0.15"/>
    <row r="215" ht="12" hidden="1" customHeight="1" x14ac:dyDescent="0.15"/>
    <row r="216" ht="12" hidden="1" customHeight="1" x14ac:dyDescent="0.15"/>
    <row r="217" ht="12" hidden="1" customHeight="1" x14ac:dyDescent="0.15"/>
    <row r="218" ht="12" hidden="1" customHeight="1" x14ac:dyDescent="0.15"/>
    <row r="219" ht="12" hidden="1" customHeight="1" x14ac:dyDescent="0.15"/>
    <row r="220" ht="12" hidden="1" customHeight="1" x14ac:dyDescent="0.15"/>
    <row r="221" ht="12" hidden="1" customHeight="1" x14ac:dyDescent="0.15"/>
    <row r="222" ht="12" hidden="1" customHeight="1" x14ac:dyDescent="0.15"/>
    <row r="223" ht="12" hidden="1" customHeight="1" x14ac:dyDescent="0.15"/>
    <row r="224" ht="12" hidden="1" customHeight="1" x14ac:dyDescent="0.15"/>
    <row r="225" ht="12" hidden="1" customHeight="1" x14ac:dyDescent="0.15"/>
    <row r="226" ht="12" hidden="1" customHeight="1" x14ac:dyDescent="0.15"/>
    <row r="227" ht="12" hidden="1" customHeight="1" x14ac:dyDescent="0.15"/>
    <row r="228" ht="12" hidden="1" customHeight="1" x14ac:dyDescent="0.15"/>
    <row r="229" ht="12" hidden="1" customHeight="1" x14ac:dyDescent="0.15"/>
    <row r="230" ht="12" hidden="1" customHeight="1" x14ac:dyDescent="0.15"/>
    <row r="231" ht="12" hidden="1" customHeight="1" x14ac:dyDescent="0.15"/>
    <row r="232" ht="12" hidden="1" customHeight="1" x14ac:dyDescent="0.15"/>
    <row r="233" ht="12" hidden="1" customHeight="1" x14ac:dyDescent="0.15"/>
    <row r="234" ht="12" hidden="1" customHeight="1" x14ac:dyDescent="0.15"/>
    <row r="235" ht="12" hidden="1" customHeight="1" x14ac:dyDescent="0.15"/>
    <row r="236" ht="12" hidden="1" customHeight="1" x14ac:dyDescent="0.15"/>
    <row r="237" ht="12" hidden="1" customHeight="1" x14ac:dyDescent="0.15"/>
    <row r="238" ht="12" hidden="1" customHeight="1" x14ac:dyDescent="0.15"/>
    <row r="239" ht="12" hidden="1" customHeight="1" x14ac:dyDescent="0.15"/>
    <row r="240" ht="12" hidden="1" customHeight="1" x14ac:dyDescent="0.15"/>
    <row r="241" ht="12" hidden="1" customHeight="1" x14ac:dyDescent="0.15"/>
    <row r="242" ht="12" hidden="1" customHeight="1" x14ac:dyDescent="0.15"/>
    <row r="243" ht="12" hidden="1" customHeight="1" x14ac:dyDescent="0.15"/>
    <row r="244" ht="12" hidden="1" customHeight="1" x14ac:dyDescent="0.15"/>
    <row r="245" ht="12" hidden="1" customHeight="1" x14ac:dyDescent="0.15"/>
    <row r="246" ht="12" hidden="1" customHeight="1" x14ac:dyDescent="0.15"/>
    <row r="247" ht="12" hidden="1" customHeight="1" x14ac:dyDescent="0.15"/>
    <row r="248" ht="12" hidden="1" customHeight="1" x14ac:dyDescent="0.15"/>
    <row r="249" ht="12" hidden="1" customHeight="1" x14ac:dyDescent="0.15"/>
    <row r="250" ht="12" hidden="1" customHeight="1" x14ac:dyDescent="0.15"/>
    <row r="251" ht="12" hidden="1" customHeight="1" x14ac:dyDescent="0.15"/>
    <row r="252" ht="12" hidden="1" customHeight="1" x14ac:dyDescent="0.15"/>
    <row r="253" ht="12" hidden="1" customHeight="1" x14ac:dyDescent="0.15"/>
    <row r="254" ht="12" hidden="1" customHeight="1" x14ac:dyDescent="0.15"/>
    <row r="255" ht="12" hidden="1" customHeight="1" x14ac:dyDescent="0.15"/>
    <row r="256" ht="12" hidden="1" customHeight="1" x14ac:dyDescent="0.15"/>
    <row r="257" ht="12" hidden="1" customHeight="1" x14ac:dyDescent="0.15"/>
    <row r="258" ht="12" hidden="1" customHeight="1" x14ac:dyDescent="0.15"/>
    <row r="259" ht="12" hidden="1" customHeight="1" x14ac:dyDescent="0.15"/>
    <row r="260" ht="12" hidden="1" customHeight="1" x14ac:dyDescent="0.15"/>
    <row r="261" ht="12" hidden="1" customHeight="1" x14ac:dyDescent="0.15"/>
    <row r="262" ht="12" hidden="1" customHeight="1" x14ac:dyDescent="0.15"/>
    <row r="263" ht="12" hidden="1" customHeight="1" x14ac:dyDescent="0.15"/>
    <row r="264" ht="12" hidden="1" customHeight="1" x14ac:dyDescent="0.15"/>
    <row r="265" ht="12" hidden="1" customHeight="1" x14ac:dyDescent="0.15"/>
    <row r="266" ht="12" hidden="1" customHeight="1" x14ac:dyDescent="0.15"/>
    <row r="267" ht="12" hidden="1" customHeight="1" x14ac:dyDescent="0.15"/>
    <row r="268" ht="12" hidden="1" customHeight="1" x14ac:dyDescent="0.15"/>
    <row r="269" ht="12" hidden="1" customHeight="1" x14ac:dyDescent="0.15"/>
    <row r="270" ht="12" hidden="1" customHeight="1" x14ac:dyDescent="0.15"/>
    <row r="271" ht="12" hidden="1" customHeight="1" x14ac:dyDescent="0.15"/>
    <row r="272" ht="12" hidden="1" customHeight="1" x14ac:dyDescent="0.15"/>
    <row r="273" ht="12" hidden="1" customHeight="1" x14ac:dyDescent="0.15"/>
    <row r="274" ht="12" hidden="1" customHeight="1" x14ac:dyDescent="0.15"/>
    <row r="275" ht="12" hidden="1" customHeight="1" x14ac:dyDescent="0.15"/>
    <row r="276" ht="12" hidden="1" customHeight="1" x14ac:dyDescent="0.15"/>
    <row r="277" ht="12" hidden="1" customHeight="1" x14ac:dyDescent="0.15"/>
    <row r="278" ht="12" hidden="1" customHeight="1" x14ac:dyDescent="0.15"/>
    <row r="279" ht="12" hidden="1" customHeight="1" x14ac:dyDescent="0.15"/>
    <row r="280" ht="12" hidden="1" customHeight="1" x14ac:dyDescent="0.15"/>
    <row r="281" ht="12" hidden="1" customHeight="1" x14ac:dyDescent="0.15"/>
    <row r="282" ht="12" hidden="1" customHeight="1" x14ac:dyDescent="0.15"/>
    <row r="283" ht="12" hidden="1" customHeight="1" x14ac:dyDescent="0.15"/>
    <row r="284" ht="12" hidden="1" customHeight="1" x14ac:dyDescent="0.15"/>
    <row r="285" ht="12" hidden="1" customHeight="1" x14ac:dyDescent="0.15"/>
    <row r="286" ht="12" hidden="1" customHeight="1" x14ac:dyDescent="0.15"/>
    <row r="287" ht="12" hidden="1" customHeight="1" x14ac:dyDescent="0.15"/>
    <row r="288" ht="12" hidden="1" customHeight="1" x14ac:dyDescent="0.15"/>
    <row r="289" ht="12" hidden="1" customHeight="1" x14ac:dyDescent="0.15"/>
    <row r="290" ht="12" hidden="1" customHeight="1" x14ac:dyDescent="0.15"/>
    <row r="291" ht="12" hidden="1" customHeight="1" x14ac:dyDescent="0.15"/>
    <row r="292" ht="12" hidden="1" customHeight="1" x14ac:dyDescent="0.15"/>
    <row r="293" ht="12" hidden="1" customHeight="1" x14ac:dyDescent="0.15"/>
    <row r="294" ht="12" hidden="1" customHeight="1" x14ac:dyDescent="0.15"/>
    <row r="295" ht="12" hidden="1" customHeight="1" x14ac:dyDescent="0.15"/>
    <row r="296" ht="12" hidden="1" customHeight="1" x14ac:dyDescent="0.15"/>
    <row r="297" ht="12" hidden="1" customHeight="1" x14ac:dyDescent="0.15"/>
    <row r="298" ht="12" hidden="1" customHeight="1" x14ac:dyDescent="0.15"/>
    <row r="299" ht="12" hidden="1" customHeight="1" x14ac:dyDescent="0.15"/>
    <row r="300" ht="12" hidden="1" customHeight="1" x14ac:dyDescent="0.15"/>
    <row r="301" ht="12" hidden="1" customHeight="1" x14ac:dyDescent="0.15"/>
    <row r="302" ht="12" hidden="1" customHeight="1" x14ac:dyDescent="0.15"/>
    <row r="303" ht="12" hidden="1" customHeight="1" x14ac:dyDescent="0.15"/>
    <row r="304" ht="12" hidden="1" customHeight="1" x14ac:dyDescent="0.15"/>
    <row r="305" ht="12" hidden="1" customHeight="1" x14ac:dyDescent="0.15"/>
    <row r="306" ht="12" hidden="1" customHeight="1" x14ac:dyDescent="0.15"/>
    <row r="307" ht="12" hidden="1" customHeight="1" x14ac:dyDescent="0.15"/>
    <row r="308" ht="12" hidden="1" customHeight="1" x14ac:dyDescent="0.15"/>
    <row r="309" ht="12" hidden="1" customHeight="1" x14ac:dyDescent="0.15"/>
    <row r="310" ht="12" hidden="1" customHeight="1" x14ac:dyDescent="0.15"/>
    <row r="311" ht="12" hidden="1" customHeight="1" x14ac:dyDescent="0.15"/>
    <row r="312" ht="12" hidden="1" customHeight="1" x14ac:dyDescent="0.15"/>
    <row r="313" ht="12" hidden="1" customHeight="1" x14ac:dyDescent="0.15"/>
    <row r="314" ht="12" hidden="1" customHeight="1" x14ac:dyDescent="0.15"/>
    <row r="315" ht="12" hidden="1" customHeight="1" x14ac:dyDescent="0.15"/>
    <row r="316" ht="12" hidden="1" customHeight="1" x14ac:dyDescent="0.15"/>
    <row r="317" ht="12" hidden="1" customHeight="1" x14ac:dyDescent="0.15"/>
    <row r="318" ht="12" hidden="1" customHeight="1" x14ac:dyDescent="0.15"/>
    <row r="319" ht="12" hidden="1" customHeight="1" x14ac:dyDescent="0.15"/>
    <row r="320" ht="12" hidden="1" customHeight="1" x14ac:dyDescent="0.15"/>
    <row r="321" ht="12" hidden="1" customHeight="1" x14ac:dyDescent="0.15"/>
    <row r="322" ht="12" hidden="1" customHeight="1" x14ac:dyDescent="0.15"/>
    <row r="323" ht="12" hidden="1" customHeight="1" x14ac:dyDescent="0.15"/>
    <row r="324" ht="12" hidden="1" customHeight="1" x14ac:dyDescent="0.15"/>
    <row r="325" ht="12" hidden="1" customHeight="1" x14ac:dyDescent="0.15"/>
    <row r="326" ht="12" hidden="1" customHeight="1" x14ac:dyDescent="0.15"/>
    <row r="327" ht="12" hidden="1" customHeight="1" x14ac:dyDescent="0.15"/>
    <row r="328" ht="12" hidden="1" customHeight="1" x14ac:dyDescent="0.15"/>
    <row r="329" ht="12" hidden="1" customHeight="1" x14ac:dyDescent="0.15"/>
    <row r="330" ht="12" hidden="1" customHeight="1" x14ac:dyDescent="0.15"/>
    <row r="331" ht="12" hidden="1" customHeight="1" x14ac:dyDescent="0.15"/>
    <row r="332" ht="12" hidden="1" customHeight="1" x14ac:dyDescent="0.15"/>
    <row r="333" ht="12" hidden="1" customHeight="1" x14ac:dyDescent="0.15"/>
    <row r="334" ht="12" hidden="1" customHeight="1" x14ac:dyDescent="0.15"/>
    <row r="335" ht="12" hidden="1" customHeight="1" x14ac:dyDescent="0.15"/>
    <row r="336" ht="12" hidden="1" customHeight="1" x14ac:dyDescent="0.15"/>
    <row r="337" ht="12" hidden="1" customHeight="1" x14ac:dyDescent="0.15"/>
    <row r="338" ht="12" hidden="1" customHeight="1" x14ac:dyDescent="0.15"/>
    <row r="339" ht="12" hidden="1" customHeight="1" x14ac:dyDescent="0.15"/>
    <row r="340" ht="12" hidden="1" customHeight="1" x14ac:dyDescent="0.15"/>
    <row r="341" ht="12" hidden="1" customHeight="1" x14ac:dyDescent="0.15"/>
    <row r="342" ht="12" hidden="1" customHeight="1" x14ac:dyDescent="0.15"/>
    <row r="343" ht="12" hidden="1" customHeight="1" x14ac:dyDescent="0.15"/>
    <row r="344" ht="12" hidden="1" customHeight="1" x14ac:dyDescent="0.15"/>
    <row r="345" ht="12" hidden="1" customHeight="1" x14ac:dyDescent="0.15"/>
    <row r="346" ht="12" hidden="1" customHeight="1" x14ac:dyDescent="0.15"/>
    <row r="347" ht="12" hidden="1" customHeight="1" x14ac:dyDescent="0.15"/>
    <row r="348" ht="12" hidden="1" customHeight="1" x14ac:dyDescent="0.15"/>
    <row r="349" ht="12" hidden="1" customHeight="1" x14ac:dyDescent="0.15"/>
    <row r="350" ht="12" hidden="1" customHeight="1" x14ac:dyDescent="0.15"/>
    <row r="351" ht="12" hidden="1" customHeight="1" x14ac:dyDescent="0.15"/>
    <row r="352" ht="12" hidden="1" customHeight="1" x14ac:dyDescent="0.15"/>
    <row r="353" ht="12" hidden="1" customHeight="1" x14ac:dyDescent="0.15"/>
    <row r="354" ht="12" hidden="1" customHeight="1" x14ac:dyDescent="0.15"/>
    <row r="355" ht="12" hidden="1" customHeight="1" x14ac:dyDescent="0.15"/>
    <row r="356" ht="12" hidden="1" customHeight="1" x14ac:dyDescent="0.15"/>
    <row r="357" ht="12" hidden="1" customHeight="1" x14ac:dyDescent="0.15"/>
    <row r="358" ht="12" hidden="1" customHeight="1" x14ac:dyDescent="0.15"/>
    <row r="359" ht="12" hidden="1" customHeight="1" x14ac:dyDescent="0.15"/>
    <row r="360" ht="12" hidden="1" customHeight="1" x14ac:dyDescent="0.15"/>
    <row r="361" ht="12" hidden="1" customHeight="1" x14ac:dyDescent="0.15"/>
    <row r="362" ht="12" hidden="1" customHeight="1" x14ac:dyDescent="0.15"/>
    <row r="363" ht="12" hidden="1" customHeight="1" x14ac:dyDescent="0.15"/>
    <row r="364" ht="12" hidden="1" customHeight="1" x14ac:dyDescent="0.15"/>
    <row r="365" ht="12" hidden="1" customHeight="1" x14ac:dyDescent="0.15"/>
    <row r="366" ht="12" hidden="1" customHeight="1" x14ac:dyDescent="0.15"/>
    <row r="367" ht="12" hidden="1" customHeight="1" x14ac:dyDescent="0.15"/>
    <row r="368" ht="12" hidden="1" customHeight="1" x14ac:dyDescent="0.15"/>
    <row r="369" ht="12" hidden="1" customHeight="1" x14ac:dyDescent="0.15"/>
    <row r="370" ht="12" hidden="1" customHeight="1" x14ac:dyDescent="0.15"/>
    <row r="371" ht="12" hidden="1" customHeight="1" x14ac:dyDescent="0.15"/>
    <row r="372" ht="12" hidden="1" customHeight="1" x14ac:dyDescent="0.15"/>
    <row r="373" ht="12" hidden="1" customHeight="1" x14ac:dyDescent="0.15"/>
    <row r="374" ht="12" hidden="1" customHeight="1" x14ac:dyDescent="0.15"/>
    <row r="375" ht="12" hidden="1" customHeight="1" x14ac:dyDescent="0.15"/>
    <row r="376" ht="12" hidden="1" customHeight="1" x14ac:dyDescent="0.15"/>
    <row r="377" ht="12" hidden="1" customHeight="1" x14ac:dyDescent="0.15"/>
    <row r="378" ht="12" hidden="1" customHeight="1" x14ac:dyDescent="0.15"/>
    <row r="379" ht="12" hidden="1" customHeight="1" x14ac:dyDescent="0.15"/>
    <row r="380" ht="12" hidden="1" customHeight="1" x14ac:dyDescent="0.15"/>
    <row r="381" ht="12" hidden="1" customHeight="1" x14ac:dyDescent="0.15"/>
    <row r="382" ht="12" hidden="1" customHeight="1" x14ac:dyDescent="0.15"/>
    <row r="383" ht="12" hidden="1" customHeight="1" x14ac:dyDescent="0.15"/>
    <row r="384" ht="12" hidden="1" customHeight="1" x14ac:dyDescent="0.15"/>
    <row r="385" ht="12" hidden="1" customHeight="1" x14ac:dyDescent="0.15"/>
    <row r="386" ht="12" hidden="1" customHeight="1" x14ac:dyDescent="0.15"/>
    <row r="387" ht="12" hidden="1" customHeight="1" x14ac:dyDescent="0.15"/>
    <row r="388" ht="12" hidden="1" customHeight="1" x14ac:dyDescent="0.15"/>
    <row r="389" ht="12" hidden="1" customHeight="1" x14ac:dyDescent="0.15"/>
    <row r="390" ht="12" hidden="1" customHeight="1" x14ac:dyDescent="0.15"/>
    <row r="391" ht="12" hidden="1" customHeight="1" x14ac:dyDescent="0.15"/>
    <row r="392" ht="12" hidden="1" customHeight="1" x14ac:dyDescent="0.15"/>
    <row r="393" ht="12" hidden="1" customHeight="1" x14ac:dyDescent="0.15"/>
    <row r="394" ht="12" hidden="1" customHeight="1" x14ac:dyDescent="0.15"/>
    <row r="395" ht="12" hidden="1" customHeight="1" x14ac:dyDescent="0.15"/>
    <row r="396" ht="12" hidden="1" customHeight="1" x14ac:dyDescent="0.15"/>
    <row r="397" ht="12" hidden="1" customHeight="1" x14ac:dyDescent="0.15"/>
    <row r="398" ht="12" hidden="1" customHeight="1" x14ac:dyDescent="0.15"/>
    <row r="399" ht="12" hidden="1" customHeight="1" x14ac:dyDescent="0.15"/>
    <row r="400" ht="12" hidden="1" customHeight="1" x14ac:dyDescent="0.15"/>
    <row r="401" ht="12" hidden="1" customHeight="1" x14ac:dyDescent="0.15"/>
    <row r="402" ht="12" hidden="1" customHeight="1" x14ac:dyDescent="0.15"/>
    <row r="403" ht="12" hidden="1" customHeight="1" x14ac:dyDescent="0.15"/>
    <row r="404" ht="12" hidden="1" customHeight="1" x14ac:dyDescent="0.15"/>
    <row r="405" ht="12" hidden="1" customHeight="1" x14ac:dyDescent="0.15"/>
    <row r="406" ht="12" hidden="1" customHeight="1" x14ac:dyDescent="0.15"/>
    <row r="407" ht="12" hidden="1" customHeight="1" x14ac:dyDescent="0.15"/>
    <row r="408" ht="12" hidden="1" customHeight="1" x14ac:dyDescent="0.15"/>
    <row r="409" ht="12" hidden="1" customHeight="1" x14ac:dyDescent="0.15"/>
    <row r="410" ht="12" hidden="1" customHeight="1" x14ac:dyDescent="0.15"/>
    <row r="411" ht="12" hidden="1" customHeight="1" x14ac:dyDescent="0.15"/>
    <row r="412" ht="12" hidden="1" customHeight="1" x14ac:dyDescent="0.15"/>
    <row r="413" ht="12" hidden="1" customHeight="1" x14ac:dyDescent="0.15"/>
    <row r="414" ht="12" hidden="1" customHeight="1" x14ac:dyDescent="0.15"/>
    <row r="415" ht="12" hidden="1" customHeight="1" x14ac:dyDescent="0.15"/>
    <row r="416" ht="12" hidden="1" customHeight="1" x14ac:dyDescent="0.15"/>
    <row r="417" ht="12" hidden="1" customHeight="1" x14ac:dyDescent="0.15"/>
    <row r="418" ht="12" hidden="1" customHeight="1" x14ac:dyDescent="0.15"/>
    <row r="419" ht="12" hidden="1" customHeight="1" x14ac:dyDescent="0.15"/>
    <row r="420" ht="12" hidden="1" customHeight="1" x14ac:dyDescent="0.15"/>
    <row r="421" ht="12" hidden="1" customHeight="1" x14ac:dyDescent="0.15"/>
    <row r="422" ht="12" hidden="1" customHeight="1" x14ac:dyDescent="0.15"/>
    <row r="423" ht="12" hidden="1" customHeight="1" x14ac:dyDescent="0.15"/>
    <row r="424" ht="12" hidden="1" customHeight="1" x14ac:dyDescent="0.15"/>
    <row r="425" ht="12" hidden="1" customHeight="1" x14ac:dyDescent="0.15"/>
    <row r="426" ht="12" hidden="1" customHeight="1" x14ac:dyDescent="0.15"/>
    <row r="427" ht="12" hidden="1" customHeight="1" x14ac:dyDescent="0.15"/>
    <row r="428" ht="12" hidden="1" customHeight="1" x14ac:dyDescent="0.15"/>
    <row r="429" ht="12" hidden="1" customHeight="1" x14ac:dyDescent="0.15"/>
    <row r="430" ht="12" hidden="1" customHeight="1" x14ac:dyDescent="0.15"/>
    <row r="431" ht="12" hidden="1" customHeight="1" x14ac:dyDescent="0.15"/>
    <row r="432" ht="12" hidden="1" customHeight="1" x14ac:dyDescent="0.15"/>
    <row r="433" ht="12" hidden="1" customHeight="1" x14ac:dyDescent="0.15"/>
    <row r="434" ht="12" hidden="1" customHeight="1" x14ac:dyDescent="0.15"/>
    <row r="435" ht="12" hidden="1" customHeight="1" x14ac:dyDescent="0.15"/>
    <row r="436" ht="12" hidden="1" customHeight="1" x14ac:dyDescent="0.15"/>
    <row r="437" ht="12" hidden="1" customHeight="1" x14ac:dyDescent="0.15"/>
    <row r="438" ht="12" hidden="1" customHeight="1" x14ac:dyDescent="0.15"/>
    <row r="439" ht="12" hidden="1" customHeight="1" x14ac:dyDescent="0.15"/>
    <row r="440" ht="12" hidden="1" customHeight="1" x14ac:dyDescent="0.15"/>
    <row r="441" ht="12" hidden="1" customHeight="1" x14ac:dyDescent="0.15"/>
    <row r="442" ht="12" hidden="1" customHeight="1" x14ac:dyDescent="0.15"/>
    <row r="443" ht="12" hidden="1" customHeight="1" x14ac:dyDescent="0.15"/>
    <row r="444" ht="12" hidden="1" customHeight="1" x14ac:dyDescent="0.15"/>
    <row r="445" ht="12" hidden="1" customHeight="1" x14ac:dyDescent="0.15"/>
    <row r="446" ht="12" hidden="1" customHeight="1" x14ac:dyDescent="0.15"/>
    <row r="447" ht="12" hidden="1" customHeight="1" x14ac:dyDescent="0.15"/>
    <row r="448" ht="12" hidden="1" customHeight="1" x14ac:dyDescent="0.15"/>
    <row r="449" ht="12" hidden="1" customHeight="1" x14ac:dyDescent="0.15"/>
    <row r="450" ht="12" hidden="1" customHeight="1" x14ac:dyDescent="0.15"/>
    <row r="451" ht="12" hidden="1" customHeight="1" x14ac:dyDescent="0.15"/>
    <row r="452" ht="12" hidden="1" customHeight="1" x14ac:dyDescent="0.15"/>
    <row r="453" ht="12" hidden="1" customHeight="1" x14ac:dyDescent="0.15"/>
    <row r="454" ht="12" hidden="1" customHeight="1" x14ac:dyDescent="0.15"/>
    <row r="455" ht="12" hidden="1" customHeight="1" x14ac:dyDescent="0.15"/>
    <row r="456" ht="12" hidden="1" customHeight="1" x14ac:dyDescent="0.15"/>
    <row r="457" ht="12" hidden="1" customHeight="1" x14ac:dyDescent="0.15"/>
    <row r="458" ht="12" hidden="1" customHeight="1" x14ac:dyDescent="0.15"/>
    <row r="459" ht="12" hidden="1" customHeight="1" x14ac:dyDescent="0.15"/>
    <row r="460" ht="12" hidden="1" customHeight="1" x14ac:dyDescent="0.15"/>
    <row r="461" ht="12" hidden="1" customHeight="1" x14ac:dyDescent="0.15"/>
    <row r="462" ht="12" hidden="1" customHeight="1" x14ac:dyDescent="0.15"/>
    <row r="463" ht="12" hidden="1" customHeight="1" x14ac:dyDescent="0.15"/>
    <row r="464" ht="12" hidden="1" customHeight="1" x14ac:dyDescent="0.15"/>
    <row r="465" ht="12" hidden="1" customHeight="1" x14ac:dyDescent="0.15"/>
    <row r="466" ht="12" hidden="1" customHeight="1" x14ac:dyDescent="0.15"/>
    <row r="467" ht="12" hidden="1" customHeight="1" x14ac:dyDescent="0.15"/>
    <row r="468" ht="12" hidden="1" customHeight="1" x14ac:dyDescent="0.15"/>
    <row r="469" ht="12" hidden="1" customHeight="1" x14ac:dyDescent="0.15"/>
    <row r="470" ht="12" hidden="1" customHeight="1" x14ac:dyDescent="0.15"/>
    <row r="471" ht="12" hidden="1" customHeight="1" x14ac:dyDescent="0.15"/>
    <row r="472" ht="12" hidden="1" customHeight="1" x14ac:dyDescent="0.15"/>
    <row r="473" ht="12" hidden="1" customHeight="1" x14ac:dyDescent="0.15"/>
    <row r="474" ht="12" hidden="1" customHeight="1" x14ac:dyDescent="0.15"/>
    <row r="475" ht="12" hidden="1" customHeight="1" x14ac:dyDescent="0.15"/>
    <row r="476" ht="12" hidden="1" customHeight="1" x14ac:dyDescent="0.15"/>
    <row r="477" ht="12" hidden="1" customHeight="1" x14ac:dyDescent="0.15"/>
    <row r="478" ht="12" hidden="1" customHeight="1" x14ac:dyDescent="0.15"/>
    <row r="479" ht="12" hidden="1" customHeight="1" x14ac:dyDescent="0.15"/>
    <row r="480" ht="12" hidden="1" customHeight="1" x14ac:dyDescent="0.15"/>
    <row r="481" ht="12" hidden="1" customHeight="1" x14ac:dyDescent="0.15"/>
    <row r="482" ht="12" hidden="1" customHeight="1" x14ac:dyDescent="0.15"/>
    <row r="483" ht="12" hidden="1" customHeight="1" x14ac:dyDescent="0.15"/>
    <row r="484" ht="12" hidden="1" customHeight="1" x14ac:dyDescent="0.15"/>
    <row r="485" ht="12" hidden="1" customHeight="1" x14ac:dyDescent="0.15"/>
    <row r="486" ht="12" hidden="1" customHeight="1" x14ac:dyDescent="0.15"/>
    <row r="487" ht="12" hidden="1" customHeight="1" x14ac:dyDescent="0.15"/>
    <row r="488" ht="12" hidden="1" customHeight="1" x14ac:dyDescent="0.15"/>
    <row r="489" ht="12" hidden="1" customHeight="1" x14ac:dyDescent="0.15"/>
    <row r="490" ht="12" hidden="1" customHeight="1" x14ac:dyDescent="0.15"/>
    <row r="491" ht="12" hidden="1" customHeight="1" x14ac:dyDescent="0.15"/>
    <row r="492" ht="12" hidden="1" customHeight="1" x14ac:dyDescent="0.15"/>
    <row r="493" ht="12" hidden="1" customHeight="1" x14ac:dyDescent="0.15"/>
    <row r="494" ht="12" hidden="1" customHeight="1" x14ac:dyDescent="0.15"/>
    <row r="495" ht="12" hidden="1" customHeight="1" x14ac:dyDescent="0.15"/>
    <row r="496" ht="12" hidden="1" customHeight="1" x14ac:dyDescent="0.15"/>
    <row r="497" ht="12" hidden="1" customHeight="1" x14ac:dyDescent="0.15"/>
    <row r="498" ht="12" hidden="1" customHeight="1" x14ac:dyDescent="0.15"/>
    <row r="499" ht="12" hidden="1" customHeight="1" x14ac:dyDescent="0.15"/>
    <row r="500" ht="12" hidden="1" customHeight="1" x14ac:dyDescent="0.15"/>
    <row r="501" ht="12" hidden="1" customHeight="1" x14ac:dyDescent="0.15"/>
    <row r="502" ht="12" hidden="1" customHeight="1" x14ac:dyDescent="0.15"/>
    <row r="503" ht="12" hidden="1" customHeight="1" x14ac:dyDescent="0.15"/>
    <row r="504" ht="12" hidden="1" customHeight="1" x14ac:dyDescent="0.15"/>
    <row r="505" ht="12" hidden="1" customHeight="1" x14ac:dyDescent="0.15"/>
    <row r="506" ht="12" hidden="1" customHeight="1" x14ac:dyDescent="0.15"/>
    <row r="507" ht="12" hidden="1" customHeight="1" x14ac:dyDescent="0.15"/>
    <row r="508" ht="12" hidden="1" customHeight="1" x14ac:dyDescent="0.15"/>
    <row r="509" ht="12" hidden="1" customHeight="1" x14ac:dyDescent="0.15"/>
    <row r="510" ht="12" hidden="1" customHeight="1" x14ac:dyDescent="0.15"/>
    <row r="511" ht="12" hidden="1" customHeight="1" x14ac:dyDescent="0.15"/>
    <row r="512" ht="12" hidden="1" customHeight="1" x14ac:dyDescent="0.15"/>
    <row r="513" ht="12" hidden="1" customHeight="1" x14ac:dyDescent="0.15"/>
    <row r="514" ht="12" hidden="1" customHeight="1" x14ac:dyDescent="0.15"/>
    <row r="515" ht="12" hidden="1" customHeight="1" x14ac:dyDescent="0.15"/>
    <row r="516" ht="12" hidden="1" customHeight="1" x14ac:dyDescent="0.15"/>
    <row r="517" ht="12" hidden="1" customHeight="1" x14ac:dyDescent="0.15"/>
    <row r="518" ht="12" hidden="1" customHeight="1" x14ac:dyDescent="0.15"/>
    <row r="519" ht="12" hidden="1" customHeight="1" x14ac:dyDescent="0.15"/>
    <row r="520" ht="12" hidden="1" customHeight="1" x14ac:dyDescent="0.15"/>
    <row r="521" ht="12" hidden="1" customHeight="1" x14ac:dyDescent="0.15"/>
    <row r="522" ht="12" hidden="1" customHeight="1" x14ac:dyDescent="0.15"/>
    <row r="523" ht="12" hidden="1" customHeight="1" x14ac:dyDescent="0.15"/>
    <row r="524" ht="12" hidden="1" customHeight="1" x14ac:dyDescent="0.15"/>
    <row r="525" ht="12" hidden="1" customHeight="1" x14ac:dyDescent="0.15"/>
    <row r="526" ht="12" hidden="1" customHeight="1" x14ac:dyDescent="0.15"/>
    <row r="527" ht="12" hidden="1" customHeight="1" x14ac:dyDescent="0.15"/>
    <row r="528" ht="12" hidden="1" customHeight="1" x14ac:dyDescent="0.15"/>
  </sheetData>
  <sheetProtection password="8C8E" sheet="1" objects="1" scenarios="1" selectLockedCells="1"/>
  <autoFilter ref="B7:K21">
    <sortState ref="B8:K21">
      <sortCondition descending="1" ref="B7:B21"/>
    </sortState>
  </autoFilter>
  <mergeCells count="4">
    <mergeCell ref="B2:K2"/>
    <mergeCell ref="C5:D5"/>
    <mergeCell ref="F5:G5"/>
    <mergeCell ref="F4:G4"/>
  </mergeCells>
  <phoneticPr fontId="2"/>
  <conditionalFormatting sqref="C8:K97">
    <cfRule type="cellIs" dxfId="16" priority="1" operator="equal">
      <formula>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499984740745262"/>
  </sheetPr>
  <dimension ref="A1:N205"/>
  <sheetViews>
    <sheetView showGridLines="0" zoomScale="85" zoomScaleNormal="85" workbookViewId="0">
      <pane ySplit="1" topLeftCell="A29" activePane="bottomLeft" state="frozen"/>
      <selection pane="bottomLeft" activeCell="O35" sqref="O35"/>
    </sheetView>
  </sheetViews>
  <sheetFormatPr defaultColWidth="9" defaultRowHeight="12" customHeight="1" zeroHeight="1" x14ac:dyDescent="0.15"/>
  <cols>
    <col min="1" max="1" width="6.375" style="55" bestFit="1" customWidth="1"/>
    <col min="2" max="2" width="24" style="56" bestFit="1" customWidth="1"/>
    <col min="3" max="3" width="18.75" style="57" bestFit="1" customWidth="1"/>
    <col min="4" max="4" width="10.625" style="57" bestFit="1" customWidth="1"/>
    <col min="5" max="5" width="11.125" style="56" customWidth="1"/>
    <col min="6" max="6" width="11.25" style="28" customWidth="1"/>
    <col min="7" max="7" width="10.375" style="28" customWidth="1"/>
    <col min="8" max="8" width="15.625" style="28" customWidth="1"/>
    <col min="9" max="9" width="11.625" style="59" customWidth="1"/>
    <col min="10" max="10" width="12.125" style="70" bestFit="1" customWidth="1"/>
    <col min="11" max="13" width="12.125" style="70" hidden="1" customWidth="1"/>
    <col min="14" max="14" width="2.125" style="28" customWidth="1"/>
    <col min="15" max="16384" width="9" style="28"/>
  </cols>
  <sheetData>
    <row r="1" spans="1:13" ht="12" customHeight="1" x14ac:dyDescent="0.15">
      <c r="A1" s="2" t="s">
        <v>147</v>
      </c>
      <c r="B1" s="1" t="s">
        <v>6</v>
      </c>
      <c r="C1" s="1" t="s">
        <v>372</v>
      </c>
      <c r="D1" s="76" t="s">
        <v>267</v>
      </c>
      <c r="E1" s="60" t="s">
        <v>373</v>
      </c>
      <c r="F1" s="60" t="s">
        <v>375</v>
      </c>
      <c r="G1" s="61" t="s">
        <v>146</v>
      </c>
      <c r="H1" s="61" t="s">
        <v>379</v>
      </c>
      <c r="I1" s="62" t="s">
        <v>266</v>
      </c>
      <c r="J1" s="68" t="s">
        <v>269</v>
      </c>
      <c r="K1" s="62" t="s">
        <v>285</v>
      </c>
      <c r="L1" s="62" t="s">
        <v>279</v>
      </c>
      <c r="M1" s="62" t="s">
        <v>280</v>
      </c>
    </row>
    <row r="2" spans="1:13" ht="12" customHeight="1" x14ac:dyDescent="0.15">
      <c r="A2" s="63">
        <f>ROW()-1</f>
        <v>1</v>
      </c>
      <c r="B2" s="58" t="s">
        <v>44</v>
      </c>
      <c r="C2" s="58" t="s">
        <v>231</v>
      </c>
      <c r="D2" s="58">
        <v>110811</v>
      </c>
      <c r="E2" s="58" t="s">
        <v>154</v>
      </c>
      <c r="F2" s="58" t="s">
        <v>157</v>
      </c>
      <c r="G2" s="58" t="s">
        <v>158</v>
      </c>
      <c r="H2" s="28" t="s">
        <v>365</v>
      </c>
      <c r="I2" s="59">
        <v>42128</v>
      </c>
      <c r="J2" s="69" t="s">
        <v>270</v>
      </c>
      <c r="K2" s="69" t="s">
        <v>288</v>
      </c>
      <c r="L2" s="69" t="s">
        <v>297</v>
      </c>
      <c r="M2" s="69" t="s">
        <v>283</v>
      </c>
    </row>
    <row r="3" spans="1:13" ht="12" customHeight="1" x14ac:dyDescent="0.15">
      <c r="A3" s="63">
        <f t="shared" ref="A3:A66" si="0">ROW()-1</f>
        <v>2</v>
      </c>
      <c r="B3" s="58" t="s">
        <v>19</v>
      </c>
      <c r="C3" s="58" t="s">
        <v>199</v>
      </c>
      <c r="D3" s="58">
        <v>110248</v>
      </c>
      <c r="E3" s="58" t="s">
        <v>154</v>
      </c>
      <c r="F3" s="58" t="s">
        <v>157</v>
      </c>
      <c r="G3" s="58" t="s">
        <v>158</v>
      </c>
      <c r="H3" s="28" t="s">
        <v>365</v>
      </c>
      <c r="I3" s="59">
        <v>41278</v>
      </c>
      <c r="J3" s="69" t="s">
        <v>270</v>
      </c>
      <c r="K3" s="69" t="s">
        <v>288</v>
      </c>
      <c r="L3" s="69" t="s">
        <v>297</v>
      </c>
      <c r="M3" s="69" t="s">
        <v>283</v>
      </c>
    </row>
    <row r="4" spans="1:13" ht="12" customHeight="1" x14ac:dyDescent="0.15">
      <c r="A4" s="63">
        <f t="shared" si="0"/>
        <v>3</v>
      </c>
      <c r="B4" s="58" t="s">
        <v>80</v>
      </c>
      <c r="C4" s="58" t="s">
        <v>249</v>
      </c>
      <c r="D4" s="58">
        <v>111508</v>
      </c>
      <c r="E4" s="58" t="s">
        <v>154</v>
      </c>
      <c r="F4" s="58" t="s">
        <v>157</v>
      </c>
      <c r="G4" s="58" t="s">
        <v>158</v>
      </c>
      <c r="H4" s="28" t="s">
        <v>365</v>
      </c>
      <c r="I4" s="59">
        <v>41278</v>
      </c>
      <c r="J4" s="69" t="s">
        <v>208</v>
      </c>
      <c r="K4" s="69" t="s">
        <v>288</v>
      </c>
      <c r="L4" s="69" t="s">
        <v>297</v>
      </c>
      <c r="M4" s="69" t="s">
        <v>283</v>
      </c>
    </row>
    <row r="5" spans="1:13" ht="12" customHeight="1" x14ac:dyDescent="0.15">
      <c r="A5" s="63">
        <f t="shared" si="0"/>
        <v>4</v>
      </c>
      <c r="B5" s="58" t="s">
        <v>78</v>
      </c>
      <c r="C5" s="58" t="s">
        <v>229</v>
      </c>
      <c r="D5" s="58">
        <v>111485</v>
      </c>
      <c r="E5" s="58" t="s">
        <v>154</v>
      </c>
      <c r="F5" s="58" t="s">
        <v>157</v>
      </c>
      <c r="G5" s="58" t="s">
        <v>158</v>
      </c>
      <c r="H5" s="28" t="s">
        <v>365</v>
      </c>
      <c r="I5" s="59">
        <v>42464</v>
      </c>
      <c r="J5" s="69" t="s">
        <v>270</v>
      </c>
      <c r="K5" s="69" t="s">
        <v>288</v>
      </c>
      <c r="L5" s="69" t="s">
        <v>297</v>
      </c>
      <c r="M5" s="69" t="s">
        <v>283</v>
      </c>
    </row>
    <row r="6" spans="1:13" ht="12" customHeight="1" x14ac:dyDescent="0.15">
      <c r="A6" s="63">
        <f t="shared" si="0"/>
        <v>5</v>
      </c>
      <c r="B6" s="58" t="s">
        <v>17</v>
      </c>
      <c r="C6" s="58" t="s">
        <v>227</v>
      </c>
      <c r="D6" s="58">
        <v>110204</v>
      </c>
      <c r="E6" s="58" t="s">
        <v>154</v>
      </c>
      <c r="F6" s="58" t="s">
        <v>157</v>
      </c>
      <c r="G6" s="58" t="s">
        <v>158</v>
      </c>
      <c r="H6" s="28" t="s">
        <v>365</v>
      </c>
      <c r="I6" s="59">
        <v>41278</v>
      </c>
      <c r="J6" s="69" t="s">
        <v>270</v>
      </c>
      <c r="K6" s="69" t="s">
        <v>288</v>
      </c>
      <c r="L6" s="69" t="s">
        <v>297</v>
      </c>
      <c r="M6" s="69" t="s">
        <v>283</v>
      </c>
    </row>
    <row r="7" spans="1:13" ht="12" customHeight="1" x14ac:dyDescent="0.15">
      <c r="A7" s="63">
        <f t="shared" si="0"/>
        <v>6</v>
      </c>
      <c r="B7" s="58" t="s">
        <v>48</v>
      </c>
      <c r="C7" s="58" t="s">
        <v>234</v>
      </c>
      <c r="D7" s="58">
        <v>110901</v>
      </c>
      <c r="E7" s="58" t="s">
        <v>154</v>
      </c>
      <c r="F7" s="58" t="s">
        <v>157</v>
      </c>
      <c r="G7" s="58" t="s">
        <v>158</v>
      </c>
      <c r="H7" s="28" t="s">
        <v>365</v>
      </c>
      <c r="I7" s="59">
        <v>42128</v>
      </c>
      <c r="J7" s="69" t="s">
        <v>270</v>
      </c>
      <c r="K7" s="69" t="s">
        <v>288</v>
      </c>
      <c r="L7" s="69" t="s">
        <v>297</v>
      </c>
      <c r="M7" s="69" t="s">
        <v>283</v>
      </c>
    </row>
    <row r="8" spans="1:13" ht="12" customHeight="1" x14ac:dyDescent="0.15">
      <c r="A8" s="63">
        <f t="shared" si="0"/>
        <v>7</v>
      </c>
      <c r="B8" s="58" t="s">
        <v>328</v>
      </c>
      <c r="C8" s="58" t="s">
        <v>204</v>
      </c>
      <c r="D8" s="58">
        <v>111610</v>
      </c>
      <c r="E8" s="58" t="s">
        <v>150</v>
      </c>
      <c r="F8" s="58" t="s">
        <v>157</v>
      </c>
      <c r="G8" s="58" t="s">
        <v>158</v>
      </c>
      <c r="H8" s="28" t="s">
        <v>365</v>
      </c>
      <c r="I8" s="59">
        <v>42614</v>
      </c>
      <c r="J8" s="69" t="s">
        <v>270</v>
      </c>
      <c r="K8" s="69" t="s">
        <v>288</v>
      </c>
      <c r="L8" s="69" t="s">
        <v>297</v>
      </c>
      <c r="M8" s="69" t="s">
        <v>283</v>
      </c>
    </row>
    <row r="9" spans="1:13" ht="12" customHeight="1" x14ac:dyDescent="0.15">
      <c r="A9" s="63">
        <f t="shared" si="0"/>
        <v>8</v>
      </c>
      <c r="B9" s="58" t="s">
        <v>57</v>
      </c>
      <c r="C9" s="58" t="s">
        <v>170</v>
      </c>
      <c r="D9" s="58">
        <v>111081</v>
      </c>
      <c r="E9" s="58" t="s">
        <v>154</v>
      </c>
      <c r="F9" s="58" t="s">
        <v>157</v>
      </c>
      <c r="G9" s="58" t="s">
        <v>158</v>
      </c>
      <c r="H9" s="28" t="s">
        <v>365</v>
      </c>
      <c r="I9" s="59">
        <v>42248</v>
      </c>
      <c r="J9" s="69" t="s">
        <v>270</v>
      </c>
      <c r="K9" s="69" t="s">
        <v>288</v>
      </c>
      <c r="L9" s="69" t="s">
        <v>297</v>
      </c>
      <c r="M9" s="69" t="s">
        <v>283</v>
      </c>
    </row>
    <row r="10" spans="1:13" ht="12" customHeight="1" x14ac:dyDescent="0.15">
      <c r="A10" s="63">
        <f t="shared" si="0"/>
        <v>9</v>
      </c>
      <c r="B10" s="58" t="s">
        <v>39</v>
      </c>
      <c r="C10" s="58" t="s">
        <v>223</v>
      </c>
      <c r="D10" s="58">
        <v>110743</v>
      </c>
      <c r="E10" s="58" t="s">
        <v>154</v>
      </c>
      <c r="F10" s="58" t="s">
        <v>157</v>
      </c>
      <c r="G10" s="58" t="s">
        <v>158</v>
      </c>
      <c r="H10" s="28" t="s">
        <v>365</v>
      </c>
      <c r="I10" s="59">
        <v>42248</v>
      </c>
      <c r="J10" s="69" t="s">
        <v>270</v>
      </c>
      <c r="K10" s="69" t="s">
        <v>288</v>
      </c>
      <c r="L10" s="69" t="s">
        <v>297</v>
      </c>
      <c r="M10" s="69" t="s">
        <v>283</v>
      </c>
    </row>
    <row r="11" spans="1:13" ht="12" customHeight="1" x14ac:dyDescent="0.15">
      <c r="A11" s="63">
        <f t="shared" si="0"/>
        <v>10</v>
      </c>
      <c r="B11" s="58" t="s">
        <v>10</v>
      </c>
      <c r="C11" s="58" t="s">
        <v>148</v>
      </c>
      <c r="D11" s="58">
        <v>110079</v>
      </c>
      <c r="E11" s="58" t="s">
        <v>184</v>
      </c>
      <c r="F11" s="58" t="s">
        <v>184</v>
      </c>
      <c r="G11" s="58" t="s">
        <v>161</v>
      </c>
      <c r="H11" s="28" t="s">
        <v>152</v>
      </c>
      <c r="I11" s="59">
        <v>42339</v>
      </c>
      <c r="J11" s="69" t="s">
        <v>184</v>
      </c>
      <c r="K11" s="81" t="s">
        <v>287</v>
      </c>
      <c r="L11" s="69" t="s">
        <v>313</v>
      </c>
      <c r="M11" s="81" t="s">
        <v>284</v>
      </c>
    </row>
    <row r="12" spans="1:13" ht="12" customHeight="1" x14ac:dyDescent="0.15">
      <c r="A12" s="63">
        <f t="shared" si="0"/>
        <v>11</v>
      </c>
      <c r="B12" s="58" t="s">
        <v>329</v>
      </c>
      <c r="C12" s="58" t="s">
        <v>222</v>
      </c>
      <c r="D12" s="58">
        <v>111665</v>
      </c>
      <c r="E12" s="58" t="s">
        <v>196</v>
      </c>
      <c r="F12" s="58" t="s">
        <v>376</v>
      </c>
      <c r="G12" s="58" t="s">
        <v>151</v>
      </c>
      <c r="H12" s="28" t="s">
        <v>152</v>
      </c>
      <c r="I12" s="59">
        <v>42660</v>
      </c>
      <c r="J12" s="69" t="s">
        <v>270</v>
      </c>
      <c r="K12" s="69" t="s">
        <v>286</v>
      </c>
      <c r="L12" s="69" t="s">
        <v>295</v>
      </c>
      <c r="M12" s="69" t="s">
        <v>281</v>
      </c>
    </row>
    <row r="13" spans="1:13" ht="12" customHeight="1" x14ac:dyDescent="0.15">
      <c r="A13" s="63">
        <f t="shared" si="0"/>
        <v>12</v>
      </c>
      <c r="B13" s="58" t="s">
        <v>79</v>
      </c>
      <c r="C13" s="58" t="s">
        <v>260</v>
      </c>
      <c r="D13" s="58">
        <v>111496</v>
      </c>
      <c r="E13" s="58" t="s">
        <v>154</v>
      </c>
      <c r="F13" s="58" t="s">
        <v>376</v>
      </c>
      <c r="G13" s="58" t="s">
        <v>151</v>
      </c>
      <c r="H13" s="28" t="s">
        <v>152</v>
      </c>
      <c r="I13" s="59">
        <v>42107</v>
      </c>
      <c r="J13" s="69" t="s">
        <v>271</v>
      </c>
      <c r="K13" s="69" t="s">
        <v>286</v>
      </c>
      <c r="L13" s="69" t="s">
        <v>295</v>
      </c>
      <c r="M13" s="69" t="s">
        <v>281</v>
      </c>
    </row>
    <row r="14" spans="1:13" ht="12" customHeight="1" x14ac:dyDescent="0.15">
      <c r="A14" s="63">
        <f t="shared" si="0"/>
        <v>13</v>
      </c>
      <c r="B14" s="58" t="s">
        <v>50</v>
      </c>
      <c r="C14" s="58" t="s">
        <v>242</v>
      </c>
      <c r="D14" s="58">
        <v>110934</v>
      </c>
      <c r="E14" s="58" t="s">
        <v>150</v>
      </c>
      <c r="F14" s="58" t="s">
        <v>376</v>
      </c>
      <c r="G14" s="58" t="s">
        <v>151</v>
      </c>
      <c r="H14" s="28" t="s">
        <v>152</v>
      </c>
      <c r="I14" s="59">
        <v>42248</v>
      </c>
      <c r="J14" s="69" t="s">
        <v>270</v>
      </c>
      <c r="K14" s="69" t="s">
        <v>286</v>
      </c>
      <c r="L14" s="69" t="s">
        <v>295</v>
      </c>
      <c r="M14" s="69" t="s">
        <v>281</v>
      </c>
    </row>
    <row r="15" spans="1:13" ht="12" customHeight="1" x14ac:dyDescent="0.15">
      <c r="A15" s="63">
        <f t="shared" si="0"/>
        <v>14</v>
      </c>
      <c r="B15" s="58" t="s">
        <v>71</v>
      </c>
      <c r="C15" s="58" t="s">
        <v>203</v>
      </c>
      <c r="D15" s="58">
        <v>111317</v>
      </c>
      <c r="E15" s="58" t="s">
        <v>150</v>
      </c>
      <c r="F15" s="58" t="s">
        <v>376</v>
      </c>
      <c r="G15" s="58" t="s">
        <v>151</v>
      </c>
      <c r="H15" s="28" t="s">
        <v>152</v>
      </c>
      <c r="I15" s="59">
        <v>42248</v>
      </c>
      <c r="J15" s="69" t="s">
        <v>270</v>
      </c>
      <c r="K15" s="69" t="s">
        <v>286</v>
      </c>
      <c r="L15" s="69" t="s">
        <v>295</v>
      </c>
      <c r="M15" s="69" t="s">
        <v>281</v>
      </c>
    </row>
    <row r="16" spans="1:13" ht="12" customHeight="1" x14ac:dyDescent="0.15">
      <c r="A16" s="63">
        <f t="shared" si="0"/>
        <v>15</v>
      </c>
      <c r="B16" s="58" t="s">
        <v>41</v>
      </c>
      <c r="C16" s="58" t="s">
        <v>202</v>
      </c>
      <c r="D16" s="58">
        <v>110787</v>
      </c>
      <c r="E16" s="58" t="s">
        <v>154</v>
      </c>
      <c r="F16" s="58" t="s">
        <v>376</v>
      </c>
      <c r="G16" s="58" t="s">
        <v>151</v>
      </c>
      <c r="H16" s="28" t="s">
        <v>152</v>
      </c>
      <c r="I16" s="59">
        <v>42107</v>
      </c>
      <c r="J16" s="69" t="s">
        <v>270</v>
      </c>
      <c r="K16" s="69" t="s">
        <v>286</v>
      </c>
      <c r="L16" s="69" t="s">
        <v>295</v>
      </c>
      <c r="M16" s="69" t="s">
        <v>281</v>
      </c>
    </row>
    <row r="17" spans="1:13" ht="12" customHeight="1" x14ac:dyDescent="0.15">
      <c r="A17" s="63">
        <f t="shared" si="0"/>
        <v>16</v>
      </c>
      <c r="B17" s="58" t="s">
        <v>64</v>
      </c>
      <c r="C17" s="58" t="s">
        <v>214</v>
      </c>
      <c r="D17" s="58">
        <v>111182</v>
      </c>
      <c r="E17" s="58" t="s">
        <v>150</v>
      </c>
      <c r="F17" s="58" t="s">
        <v>376</v>
      </c>
      <c r="G17" s="58" t="s">
        <v>151</v>
      </c>
      <c r="H17" s="28" t="s">
        <v>152</v>
      </c>
      <c r="I17" s="59">
        <v>42248</v>
      </c>
      <c r="J17" s="69" t="s">
        <v>270</v>
      </c>
      <c r="K17" s="69" t="s">
        <v>286</v>
      </c>
      <c r="L17" s="69" t="s">
        <v>295</v>
      </c>
      <c r="M17" s="69" t="s">
        <v>281</v>
      </c>
    </row>
    <row r="18" spans="1:13" ht="12" customHeight="1" x14ac:dyDescent="0.15">
      <c r="A18" s="63">
        <f t="shared" si="0"/>
        <v>17</v>
      </c>
      <c r="B18" s="58" t="s">
        <v>330</v>
      </c>
      <c r="C18" s="58" t="s">
        <v>195</v>
      </c>
      <c r="D18" s="58">
        <v>111676</v>
      </c>
      <c r="E18" s="58" t="s">
        <v>196</v>
      </c>
      <c r="F18" s="58" t="s">
        <v>376</v>
      </c>
      <c r="G18" s="58" t="s">
        <v>151</v>
      </c>
      <c r="H18" s="28" t="s">
        <v>152</v>
      </c>
      <c r="I18" s="59">
        <v>42660</v>
      </c>
      <c r="J18" s="69" t="s">
        <v>270</v>
      </c>
      <c r="K18" s="69" t="s">
        <v>286</v>
      </c>
      <c r="L18" s="69" t="s">
        <v>295</v>
      </c>
      <c r="M18" s="69" t="s">
        <v>281</v>
      </c>
    </row>
    <row r="19" spans="1:13" ht="12" customHeight="1" x14ac:dyDescent="0.15">
      <c r="A19" s="63">
        <f t="shared" si="0"/>
        <v>18</v>
      </c>
      <c r="B19" s="58" t="s">
        <v>22</v>
      </c>
      <c r="C19" s="58" t="s">
        <v>256</v>
      </c>
      <c r="D19" s="58">
        <v>110282</v>
      </c>
      <c r="E19" s="58" t="s">
        <v>150</v>
      </c>
      <c r="F19" s="58" t="s">
        <v>208</v>
      </c>
      <c r="G19" s="58" t="s">
        <v>151</v>
      </c>
      <c r="H19" s="28" t="s">
        <v>152</v>
      </c>
      <c r="I19" s="59">
        <v>41913</v>
      </c>
      <c r="J19" s="69" t="s">
        <v>208</v>
      </c>
      <c r="K19" s="69" t="s">
        <v>286</v>
      </c>
      <c r="L19" s="69" t="s">
        <v>295</v>
      </c>
      <c r="M19" s="69" t="s">
        <v>281</v>
      </c>
    </row>
    <row r="20" spans="1:13" ht="12" customHeight="1" x14ac:dyDescent="0.15">
      <c r="A20" s="63">
        <f t="shared" si="0"/>
        <v>19</v>
      </c>
      <c r="B20" s="58" t="s">
        <v>73</v>
      </c>
      <c r="C20" s="58" t="s">
        <v>187</v>
      </c>
      <c r="D20" s="58">
        <v>111384</v>
      </c>
      <c r="E20" s="58" t="s">
        <v>154</v>
      </c>
      <c r="F20" s="58" t="s">
        <v>376</v>
      </c>
      <c r="G20" s="58" t="s">
        <v>151</v>
      </c>
      <c r="H20" s="28" t="s">
        <v>152</v>
      </c>
      <c r="I20" s="59">
        <v>41981</v>
      </c>
      <c r="J20" s="69" t="s">
        <v>270</v>
      </c>
      <c r="K20" s="69" t="s">
        <v>286</v>
      </c>
      <c r="L20" s="69" t="s">
        <v>295</v>
      </c>
      <c r="M20" s="69" t="s">
        <v>281</v>
      </c>
    </row>
    <row r="21" spans="1:13" ht="12" customHeight="1" x14ac:dyDescent="0.15">
      <c r="A21" s="63">
        <f t="shared" si="0"/>
        <v>20</v>
      </c>
      <c r="B21" s="58" t="s">
        <v>36</v>
      </c>
      <c r="C21" s="58" t="s">
        <v>252</v>
      </c>
      <c r="D21" s="58">
        <v>110642</v>
      </c>
      <c r="E21" s="58" t="s">
        <v>150</v>
      </c>
      <c r="F21" s="58" t="s">
        <v>376</v>
      </c>
      <c r="G21" s="58" t="s">
        <v>151</v>
      </c>
      <c r="H21" s="28" t="s">
        <v>152</v>
      </c>
      <c r="I21" s="59">
        <v>42248</v>
      </c>
      <c r="J21" s="69" t="s">
        <v>270</v>
      </c>
      <c r="K21" s="69" t="s">
        <v>286</v>
      </c>
      <c r="L21" s="69" t="s">
        <v>295</v>
      </c>
      <c r="M21" s="69" t="s">
        <v>281</v>
      </c>
    </row>
    <row r="22" spans="1:13" ht="12" customHeight="1" x14ac:dyDescent="0.15">
      <c r="A22" s="63">
        <f t="shared" si="0"/>
        <v>21</v>
      </c>
      <c r="B22" s="58" t="s">
        <v>47</v>
      </c>
      <c r="C22" s="58" t="s">
        <v>190</v>
      </c>
      <c r="D22" s="58">
        <v>110866</v>
      </c>
      <c r="E22" s="58" t="s">
        <v>150</v>
      </c>
      <c r="F22" s="58" t="s">
        <v>376</v>
      </c>
      <c r="G22" s="58" t="s">
        <v>151</v>
      </c>
      <c r="H22" s="28" t="s">
        <v>152</v>
      </c>
      <c r="I22" s="59">
        <v>42248</v>
      </c>
      <c r="J22" s="69" t="s">
        <v>270</v>
      </c>
      <c r="K22" s="69" t="s">
        <v>286</v>
      </c>
      <c r="L22" s="69" t="s">
        <v>295</v>
      </c>
      <c r="M22" s="69" t="s">
        <v>281</v>
      </c>
    </row>
    <row r="23" spans="1:13" ht="12" customHeight="1" x14ac:dyDescent="0.15">
      <c r="A23" s="63">
        <f t="shared" si="0"/>
        <v>22</v>
      </c>
      <c r="B23" s="58" t="s">
        <v>63</v>
      </c>
      <c r="C23" s="58" t="s">
        <v>149</v>
      </c>
      <c r="D23" s="58">
        <v>111171</v>
      </c>
      <c r="E23" s="58" t="s">
        <v>150</v>
      </c>
      <c r="F23" s="58" t="s">
        <v>376</v>
      </c>
      <c r="G23" s="58" t="s">
        <v>151</v>
      </c>
      <c r="H23" s="28" t="s">
        <v>152</v>
      </c>
      <c r="I23" s="59">
        <v>42248</v>
      </c>
      <c r="J23" s="69" t="s">
        <v>270</v>
      </c>
      <c r="K23" s="69" t="s">
        <v>286</v>
      </c>
      <c r="L23" s="69" t="s">
        <v>295</v>
      </c>
      <c r="M23" s="69" t="s">
        <v>281</v>
      </c>
    </row>
    <row r="24" spans="1:13" ht="12" customHeight="1" x14ac:dyDescent="0.15">
      <c r="A24" s="63">
        <f t="shared" si="0"/>
        <v>23</v>
      </c>
      <c r="B24" s="58" t="s">
        <v>46</v>
      </c>
      <c r="C24" s="58" t="s">
        <v>179</v>
      </c>
      <c r="D24" s="58">
        <v>110855</v>
      </c>
      <c r="E24" s="58" t="s">
        <v>150</v>
      </c>
      <c r="F24" s="58" t="s">
        <v>376</v>
      </c>
      <c r="G24" s="58" t="s">
        <v>151</v>
      </c>
      <c r="H24" s="28" t="s">
        <v>152</v>
      </c>
      <c r="I24" s="59">
        <v>42248</v>
      </c>
      <c r="J24" s="69" t="s">
        <v>270</v>
      </c>
      <c r="K24" s="69" t="s">
        <v>286</v>
      </c>
      <c r="L24" s="69" t="s">
        <v>295</v>
      </c>
      <c r="M24" s="69" t="s">
        <v>281</v>
      </c>
    </row>
    <row r="25" spans="1:13" ht="12" customHeight="1" x14ac:dyDescent="0.15">
      <c r="A25" s="63">
        <f t="shared" si="0"/>
        <v>24</v>
      </c>
      <c r="B25" s="58" t="s">
        <v>54</v>
      </c>
      <c r="C25" s="58" t="s">
        <v>262</v>
      </c>
      <c r="D25" s="58">
        <v>111014</v>
      </c>
      <c r="E25" s="58" t="s">
        <v>150</v>
      </c>
      <c r="F25" s="58" t="s">
        <v>376</v>
      </c>
      <c r="G25" s="58" t="s">
        <v>151</v>
      </c>
      <c r="H25" s="28" t="s">
        <v>152</v>
      </c>
      <c r="I25" s="59">
        <v>42248</v>
      </c>
      <c r="J25" s="69" t="s">
        <v>270</v>
      </c>
      <c r="K25" s="69" t="s">
        <v>286</v>
      </c>
      <c r="L25" s="69" t="s">
        <v>295</v>
      </c>
      <c r="M25" s="69" t="s">
        <v>281</v>
      </c>
    </row>
    <row r="26" spans="1:13" ht="12" customHeight="1" x14ac:dyDescent="0.15">
      <c r="A26" s="63">
        <f t="shared" si="0"/>
        <v>25</v>
      </c>
      <c r="B26" s="58" t="s">
        <v>75</v>
      </c>
      <c r="C26" s="58" t="s">
        <v>210</v>
      </c>
      <c r="D26" s="58">
        <v>111429</v>
      </c>
      <c r="E26" s="58" t="s">
        <v>150</v>
      </c>
      <c r="F26" s="58" t="s">
        <v>376</v>
      </c>
      <c r="G26" s="58" t="s">
        <v>151</v>
      </c>
      <c r="H26" s="28" t="s">
        <v>152</v>
      </c>
      <c r="I26" s="59">
        <v>42248</v>
      </c>
      <c r="J26" s="69" t="s">
        <v>270</v>
      </c>
      <c r="K26" s="69" t="s">
        <v>286</v>
      </c>
      <c r="L26" s="69" t="s">
        <v>295</v>
      </c>
      <c r="M26" s="69" t="s">
        <v>281</v>
      </c>
    </row>
    <row r="27" spans="1:13" ht="12" customHeight="1" x14ac:dyDescent="0.15">
      <c r="A27" s="63">
        <f t="shared" si="0"/>
        <v>26</v>
      </c>
      <c r="B27" s="58" t="s">
        <v>67</v>
      </c>
      <c r="C27" s="58" t="s">
        <v>206</v>
      </c>
      <c r="D27" s="58">
        <v>111227</v>
      </c>
      <c r="E27" s="58" t="s">
        <v>150</v>
      </c>
      <c r="F27" s="58" t="s">
        <v>376</v>
      </c>
      <c r="G27" s="58" t="s">
        <v>151</v>
      </c>
      <c r="H27" s="28" t="s">
        <v>152</v>
      </c>
      <c r="I27" s="59">
        <v>42248</v>
      </c>
      <c r="J27" s="69" t="s">
        <v>270</v>
      </c>
      <c r="K27" s="69" t="s">
        <v>286</v>
      </c>
      <c r="L27" s="69" t="s">
        <v>295</v>
      </c>
      <c r="M27" s="69" t="s">
        <v>281</v>
      </c>
    </row>
    <row r="28" spans="1:13" ht="12" customHeight="1" x14ac:dyDescent="0.15">
      <c r="A28" s="63">
        <f t="shared" si="0"/>
        <v>27</v>
      </c>
      <c r="B28" s="58" t="s">
        <v>68</v>
      </c>
      <c r="C28" s="58" t="s">
        <v>181</v>
      </c>
      <c r="D28" s="58">
        <v>111238</v>
      </c>
      <c r="E28" s="58" t="s">
        <v>154</v>
      </c>
      <c r="F28" s="58" t="s">
        <v>376</v>
      </c>
      <c r="G28" s="58" t="s">
        <v>151</v>
      </c>
      <c r="H28" s="28" t="s">
        <v>152</v>
      </c>
      <c r="I28" s="59">
        <v>42107</v>
      </c>
      <c r="J28" s="69" t="s">
        <v>271</v>
      </c>
      <c r="K28" s="69" t="s">
        <v>286</v>
      </c>
      <c r="L28" s="69" t="s">
        <v>295</v>
      </c>
      <c r="M28" s="69" t="s">
        <v>281</v>
      </c>
    </row>
    <row r="29" spans="1:13" ht="12" customHeight="1" x14ac:dyDescent="0.15">
      <c r="A29" s="63">
        <f t="shared" si="0"/>
        <v>28</v>
      </c>
      <c r="B29" s="58" t="s">
        <v>59</v>
      </c>
      <c r="C29" s="58" t="s">
        <v>159</v>
      </c>
      <c r="D29" s="58">
        <v>111137</v>
      </c>
      <c r="E29" s="58" t="s">
        <v>160</v>
      </c>
      <c r="F29" s="58" t="s">
        <v>160</v>
      </c>
      <c r="G29" s="58" t="s">
        <v>161</v>
      </c>
      <c r="H29" s="28" t="s">
        <v>152</v>
      </c>
      <c r="I29" s="59">
        <v>42079</v>
      </c>
      <c r="J29" s="69" t="s">
        <v>160</v>
      </c>
      <c r="K29" s="81" t="s">
        <v>287</v>
      </c>
      <c r="L29" s="69" t="s">
        <v>313</v>
      </c>
      <c r="M29" s="81" t="s">
        <v>284</v>
      </c>
    </row>
    <row r="30" spans="1:13" ht="12" customHeight="1" x14ac:dyDescent="0.15">
      <c r="A30" s="63">
        <f t="shared" si="0"/>
        <v>29</v>
      </c>
      <c r="B30" s="58" t="s">
        <v>34</v>
      </c>
      <c r="C30" s="58" t="s">
        <v>248</v>
      </c>
      <c r="D30" s="58">
        <v>110620</v>
      </c>
      <c r="E30" s="58" t="s">
        <v>182</v>
      </c>
      <c r="F30" s="58" t="s">
        <v>377</v>
      </c>
      <c r="G30" s="58" t="s">
        <v>161</v>
      </c>
      <c r="H30" s="28" t="s">
        <v>152</v>
      </c>
      <c r="I30" s="59">
        <v>42457</v>
      </c>
      <c r="J30" s="69" t="s">
        <v>270</v>
      </c>
      <c r="K30" s="69" t="s">
        <v>289</v>
      </c>
      <c r="L30" s="69" t="s">
        <v>296</v>
      </c>
      <c r="M30" s="69" t="s">
        <v>282</v>
      </c>
    </row>
    <row r="31" spans="1:13" ht="12" customHeight="1" x14ac:dyDescent="0.15">
      <c r="A31" s="63">
        <f t="shared" si="0"/>
        <v>30</v>
      </c>
      <c r="B31" s="58" t="s">
        <v>13</v>
      </c>
      <c r="C31" s="58" t="s">
        <v>232</v>
      </c>
      <c r="D31" s="58">
        <v>110125</v>
      </c>
      <c r="E31" s="58" t="s">
        <v>150</v>
      </c>
      <c r="F31" s="58" t="s">
        <v>377</v>
      </c>
      <c r="G31" s="58" t="s">
        <v>161</v>
      </c>
      <c r="H31" s="28" t="s">
        <v>152</v>
      </c>
      <c r="I31" s="59">
        <v>41760</v>
      </c>
      <c r="J31" s="69" t="s">
        <v>271</v>
      </c>
      <c r="K31" s="69" t="s">
        <v>289</v>
      </c>
      <c r="L31" s="69" t="s">
        <v>296</v>
      </c>
      <c r="M31" s="69" t="s">
        <v>282</v>
      </c>
    </row>
    <row r="32" spans="1:13" ht="12" customHeight="1" x14ac:dyDescent="0.15">
      <c r="A32" s="63">
        <f t="shared" si="0"/>
        <v>31</v>
      </c>
      <c r="B32" s="58" t="s">
        <v>331</v>
      </c>
      <c r="C32" s="58" t="s">
        <v>193</v>
      </c>
      <c r="D32" s="58">
        <v>110697</v>
      </c>
      <c r="E32" s="58" t="s">
        <v>182</v>
      </c>
      <c r="F32" s="58" t="s">
        <v>377</v>
      </c>
      <c r="G32" s="58" t="s">
        <v>161</v>
      </c>
      <c r="H32" s="28" t="s">
        <v>152</v>
      </c>
      <c r="I32" s="59">
        <v>42457</v>
      </c>
      <c r="J32" s="69" t="s">
        <v>270</v>
      </c>
      <c r="K32" s="69" t="s">
        <v>289</v>
      </c>
      <c r="L32" s="69" t="s">
        <v>296</v>
      </c>
      <c r="M32" s="69" t="s">
        <v>282</v>
      </c>
    </row>
    <row r="33" spans="1:14" ht="12" customHeight="1" x14ac:dyDescent="0.15">
      <c r="A33" s="63">
        <f t="shared" si="0"/>
        <v>32</v>
      </c>
      <c r="B33" s="58" t="s">
        <v>20</v>
      </c>
      <c r="C33" s="58" t="s">
        <v>236</v>
      </c>
      <c r="D33" s="58">
        <v>110259</v>
      </c>
      <c r="E33" s="58" t="s">
        <v>150</v>
      </c>
      <c r="F33" s="58" t="s">
        <v>377</v>
      </c>
      <c r="G33" s="58" t="s">
        <v>161</v>
      </c>
      <c r="H33" s="28" t="s">
        <v>152</v>
      </c>
      <c r="I33" s="59">
        <v>41913</v>
      </c>
      <c r="J33" s="69" t="s">
        <v>270</v>
      </c>
      <c r="K33" s="69" t="s">
        <v>289</v>
      </c>
      <c r="L33" s="69" t="s">
        <v>296</v>
      </c>
      <c r="M33" s="69" t="s">
        <v>282</v>
      </c>
    </row>
    <row r="34" spans="1:14" ht="12" customHeight="1" x14ac:dyDescent="0.15">
      <c r="A34" s="63">
        <f t="shared" si="0"/>
        <v>33</v>
      </c>
      <c r="B34" s="58" t="s">
        <v>332</v>
      </c>
      <c r="C34" s="58" t="s">
        <v>162</v>
      </c>
      <c r="D34" s="58">
        <v>111700</v>
      </c>
      <c r="E34" s="58" t="s">
        <v>163</v>
      </c>
      <c r="F34" s="58" t="s">
        <v>377</v>
      </c>
      <c r="G34" s="58" t="s">
        <v>161</v>
      </c>
      <c r="H34" s="28" t="s">
        <v>152</v>
      </c>
      <c r="I34" s="59">
        <v>42660</v>
      </c>
      <c r="J34" s="69" t="s">
        <v>270</v>
      </c>
      <c r="K34" s="69" t="s">
        <v>289</v>
      </c>
      <c r="L34" s="69" t="s">
        <v>296</v>
      </c>
      <c r="M34" s="69" t="s">
        <v>282</v>
      </c>
    </row>
    <row r="35" spans="1:14" ht="12" customHeight="1" x14ac:dyDescent="0.15">
      <c r="A35" s="63">
        <f t="shared" si="0"/>
        <v>34</v>
      </c>
      <c r="B35" s="58" t="s">
        <v>30</v>
      </c>
      <c r="C35" s="58" t="s">
        <v>205</v>
      </c>
      <c r="D35" s="58">
        <v>110518</v>
      </c>
      <c r="E35" s="58" t="s">
        <v>150</v>
      </c>
      <c r="F35" s="58" t="s">
        <v>377</v>
      </c>
      <c r="G35" s="58" t="s">
        <v>161</v>
      </c>
      <c r="H35" s="28" t="s">
        <v>152</v>
      </c>
      <c r="I35" s="59">
        <v>41913</v>
      </c>
      <c r="J35" s="69" t="s">
        <v>271</v>
      </c>
      <c r="K35" s="69" t="s">
        <v>289</v>
      </c>
      <c r="L35" s="69" t="s">
        <v>296</v>
      </c>
      <c r="M35" s="69" t="s">
        <v>282</v>
      </c>
    </row>
    <row r="36" spans="1:14" ht="12" customHeight="1" x14ac:dyDescent="0.15">
      <c r="A36" s="63">
        <f t="shared" si="0"/>
        <v>35</v>
      </c>
      <c r="B36" s="58" t="s">
        <v>21</v>
      </c>
      <c r="C36" s="58" t="s">
        <v>194</v>
      </c>
      <c r="D36" s="58">
        <v>110271</v>
      </c>
      <c r="E36" s="58" t="s">
        <v>154</v>
      </c>
      <c r="F36" s="58" t="s">
        <v>377</v>
      </c>
      <c r="G36" s="58" t="s">
        <v>161</v>
      </c>
      <c r="H36" s="28" t="s">
        <v>152</v>
      </c>
      <c r="I36" s="59">
        <v>41774</v>
      </c>
      <c r="J36" s="69" t="s">
        <v>271</v>
      </c>
      <c r="K36" s="69" t="s">
        <v>289</v>
      </c>
      <c r="L36" s="69" t="s">
        <v>296</v>
      </c>
      <c r="M36" s="69" t="s">
        <v>282</v>
      </c>
    </row>
    <row r="37" spans="1:14" ht="12" customHeight="1" x14ac:dyDescent="0.15">
      <c r="A37" s="63">
        <f t="shared" si="0"/>
        <v>36</v>
      </c>
      <c r="B37" s="58" t="s">
        <v>11</v>
      </c>
      <c r="C37" s="58" t="s">
        <v>251</v>
      </c>
      <c r="D37" s="58">
        <v>110080</v>
      </c>
      <c r="E37" s="58" t="s">
        <v>154</v>
      </c>
      <c r="F37" s="58" t="s">
        <v>377</v>
      </c>
      <c r="G37" s="58" t="s">
        <v>161</v>
      </c>
      <c r="H37" s="28" t="s">
        <v>152</v>
      </c>
      <c r="I37" s="59">
        <v>41779</v>
      </c>
      <c r="J37" s="69" t="s">
        <v>271</v>
      </c>
      <c r="K37" s="69" t="s">
        <v>289</v>
      </c>
      <c r="L37" s="69" t="s">
        <v>296</v>
      </c>
      <c r="M37" s="69" t="s">
        <v>282</v>
      </c>
    </row>
    <row r="38" spans="1:14" ht="12" customHeight="1" x14ac:dyDescent="0.15">
      <c r="A38" s="63">
        <f t="shared" si="0"/>
        <v>37</v>
      </c>
      <c r="B38" s="58" t="s">
        <v>18</v>
      </c>
      <c r="C38" s="58" t="s">
        <v>224</v>
      </c>
      <c r="D38" s="58">
        <v>110215</v>
      </c>
      <c r="E38" s="58" t="s">
        <v>154</v>
      </c>
      <c r="F38" s="58" t="s">
        <v>377</v>
      </c>
      <c r="G38" s="58" t="s">
        <v>161</v>
      </c>
      <c r="H38" s="28" t="s">
        <v>152</v>
      </c>
      <c r="I38" s="59">
        <v>41792</v>
      </c>
      <c r="J38" s="69" t="s">
        <v>271</v>
      </c>
      <c r="K38" s="69" t="s">
        <v>289</v>
      </c>
      <c r="L38" s="69" t="s">
        <v>296</v>
      </c>
      <c r="M38" s="69" t="s">
        <v>282</v>
      </c>
    </row>
    <row r="39" spans="1:14" ht="12" customHeight="1" x14ac:dyDescent="0.15">
      <c r="A39" s="63">
        <f t="shared" si="0"/>
        <v>38</v>
      </c>
      <c r="B39" s="58" t="s">
        <v>7</v>
      </c>
      <c r="C39" s="58" t="s">
        <v>244</v>
      </c>
      <c r="D39" s="58">
        <v>110046</v>
      </c>
      <c r="E39" s="58" t="s">
        <v>154</v>
      </c>
      <c r="F39" s="58" t="s">
        <v>208</v>
      </c>
      <c r="G39" s="58" t="s">
        <v>161</v>
      </c>
      <c r="H39" s="28" t="s">
        <v>152</v>
      </c>
      <c r="I39" s="59">
        <v>41768</v>
      </c>
      <c r="J39" s="69" t="s">
        <v>208</v>
      </c>
      <c r="K39" s="69" t="s">
        <v>289</v>
      </c>
      <c r="L39" s="69" t="s">
        <v>296</v>
      </c>
      <c r="M39" s="69" t="s">
        <v>282</v>
      </c>
    </row>
    <row r="40" spans="1:14" ht="12" customHeight="1" x14ac:dyDescent="0.15">
      <c r="A40" s="63">
        <f t="shared" si="0"/>
        <v>39</v>
      </c>
      <c r="B40" s="82" t="s">
        <v>14</v>
      </c>
      <c r="C40" s="82" t="s">
        <v>197</v>
      </c>
      <c r="D40" s="82">
        <v>110147</v>
      </c>
      <c r="E40" s="82" t="s">
        <v>198</v>
      </c>
      <c r="F40" s="82" t="s">
        <v>198</v>
      </c>
      <c r="G40" s="82" t="s">
        <v>161</v>
      </c>
      <c r="H40" s="83" t="s">
        <v>152</v>
      </c>
      <c r="I40" s="84">
        <v>42215</v>
      </c>
      <c r="J40" s="85" t="s">
        <v>272</v>
      </c>
      <c r="K40" s="81" t="s">
        <v>287</v>
      </c>
      <c r="L40" s="69" t="s">
        <v>313</v>
      </c>
      <c r="M40" s="81" t="s">
        <v>284</v>
      </c>
    </row>
    <row r="41" spans="1:14" ht="12" customHeight="1" x14ac:dyDescent="0.15">
      <c r="A41" s="63">
        <f t="shared" si="0"/>
        <v>40</v>
      </c>
      <c r="B41" s="58" t="s">
        <v>60</v>
      </c>
      <c r="C41" s="58" t="s">
        <v>185</v>
      </c>
      <c r="D41" s="58">
        <v>111148</v>
      </c>
      <c r="E41" s="58" t="s">
        <v>154</v>
      </c>
      <c r="F41" s="58" t="s">
        <v>377</v>
      </c>
      <c r="G41" s="58" t="s">
        <v>161</v>
      </c>
      <c r="H41" s="28" t="s">
        <v>152</v>
      </c>
      <c r="I41" s="59">
        <v>41779</v>
      </c>
      <c r="J41" s="69" t="s">
        <v>270</v>
      </c>
      <c r="K41" s="69" t="s">
        <v>289</v>
      </c>
      <c r="L41" s="69" t="s">
        <v>296</v>
      </c>
      <c r="M41" s="69" t="s">
        <v>282</v>
      </c>
    </row>
    <row r="42" spans="1:14" ht="12" customHeight="1" x14ac:dyDescent="0.15">
      <c r="A42" s="63">
        <f t="shared" si="0"/>
        <v>41</v>
      </c>
      <c r="B42" s="58" t="s">
        <v>27</v>
      </c>
      <c r="C42" s="58" t="s">
        <v>188</v>
      </c>
      <c r="D42" s="58">
        <v>110394</v>
      </c>
      <c r="E42" s="58" t="s">
        <v>150</v>
      </c>
      <c r="F42" s="58" t="s">
        <v>377</v>
      </c>
      <c r="G42" s="58" t="s">
        <v>161</v>
      </c>
      <c r="H42" s="28" t="s">
        <v>152</v>
      </c>
      <c r="I42" s="59">
        <v>41897</v>
      </c>
      <c r="J42" s="69" t="s">
        <v>270</v>
      </c>
      <c r="K42" s="69" t="s">
        <v>289</v>
      </c>
      <c r="L42" s="69" t="s">
        <v>296</v>
      </c>
      <c r="M42" s="69" t="s">
        <v>282</v>
      </c>
    </row>
    <row r="43" spans="1:14" ht="12" customHeight="1" x14ac:dyDescent="0.15">
      <c r="A43" s="63">
        <f t="shared" si="0"/>
        <v>42</v>
      </c>
      <c r="B43" s="58" t="s">
        <v>16</v>
      </c>
      <c r="C43" s="58" t="s">
        <v>172</v>
      </c>
      <c r="D43" s="58">
        <v>110192</v>
      </c>
      <c r="E43" s="58" t="s">
        <v>150</v>
      </c>
      <c r="F43" s="58" t="s">
        <v>377</v>
      </c>
      <c r="G43" s="58" t="s">
        <v>161</v>
      </c>
      <c r="H43" s="28" t="s">
        <v>152</v>
      </c>
      <c r="I43" s="59">
        <v>41890</v>
      </c>
      <c r="J43" s="69" t="s">
        <v>271</v>
      </c>
      <c r="K43" s="69" t="s">
        <v>289</v>
      </c>
      <c r="L43" s="69" t="s">
        <v>296</v>
      </c>
      <c r="M43" s="69" t="s">
        <v>282</v>
      </c>
    </row>
    <row r="44" spans="1:14" ht="12" customHeight="1" x14ac:dyDescent="0.15">
      <c r="A44" s="63">
        <f t="shared" si="0"/>
        <v>43</v>
      </c>
      <c r="B44" s="58" t="s">
        <v>33</v>
      </c>
      <c r="C44" s="58" t="s">
        <v>200</v>
      </c>
      <c r="D44" s="58">
        <v>110585</v>
      </c>
      <c r="E44" s="58" t="s">
        <v>150</v>
      </c>
      <c r="F44" s="58" t="s">
        <v>377</v>
      </c>
      <c r="G44" s="58" t="s">
        <v>161</v>
      </c>
      <c r="H44" s="28" t="s">
        <v>152</v>
      </c>
      <c r="I44" s="59">
        <v>41779</v>
      </c>
      <c r="J44" s="69" t="s">
        <v>271</v>
      </c>
      <c r="K44" s="69" t="s">
        <v>289</v>
      </c>
      <c r="L44" s="69" t="s">
        <v>296</v>
      </c>
      <c r="M44" s="69" t="s">
        <v>282</v>
      </c>
    </row>
    <row r="45" spans="1:14" ht="12" customHeight="1" x14ac:dyDescent="0.15">
      <c r="A45" s="63">
        <f t="shared" si="0"/>
        <v>44</v>
      </c>
      <c r="B45" s="58" t="s">
        <v>333</v>
      </c>
      <c r="C45" s="58" t="s">
        <v>168</v>
      </c>
      <c r="D45" s="58">
        <v>111698</v>
      </c>
      <c r="E45" s="58" t="s">
        <v>163</v>
      </c>
      <c r="F45" s="58" t="s">
        <v>377</v>
      </c>
      <c r="G45" s="58" t="s">
        <v>161</v>
      </c>
      <c r="H45" s="28" t="s">
        <v>152</v>
      </c>
      <c r="I45" s="59">
        <v>42660</v>
      </c>
      <c r="J45" s="69" t="s">
        <v>270</v>
      </c>
      <c r="K45" s="69" t="s">
        <v>289</v>
      </c>
      <c r="L45" s="69" t="s">
        <v>296</v>
      </c>
      <c r="M45" s="69" t="s">
        <v>282</v>
      </c>
    </row>
    <row r="46" spans="1:14" ht="12" customHeight="1" x14ac:dyDescent="0.15">
      <c r="A46" s="63">
        <f t="shared" si="0"/>
        <v>45</v>
      </c>
      <c r="B46" s="58" t="s">
        <v>334</v>
      </c>
      <c r="C46" s="58" t="s">
        <v>253</v>
      </c>
      <c r="D46" s="58">
        <v>111654</v>
      </c>
      <c r="E46" s="58" t="s">
        <v>163</v>
      </c>
      <c r="F46" s="58" t="s">
        <v>377</v>
      </c>
      <c r="G46" s="58" t="s">
        <v>161</v>
      </c>
      <c r="H46" s="28" t="s">
        <v>152</v>
      </c>
      <c r="I46" s="59">
        <v>42660</v>
      </c>
      <c r="J46" s="69" t="s">
        <v>270</v>
      </c>
      <c r="K46" s="69" t="s">
        <v>289</v>
      </c>
      <c r="L46" s="69" t="s">
        <v>296</v>
      </c>
      <c r="M46" s="69" t="s">
        <v>282</v>
      </c>
    </row>
    <row r="47" spans="1:14" s="80" customFormat="1" ht="12" customHeight="1" x14ac:dyDescent="0.15">
      <c r="A47" s="63">
        <f t="shared" si="0"/>
        <v>46</v>
      </c>
      <c r="B47" s="58" t="s">
        <v>12</v>
      </c>
      <c r="C47" s="58" t="s">
        <v>176</v>
      </c>
      <c r="D47" s="58">
        <v>110091</v>
      </c>
      <c r="E47" s="58" t="s">
        <v>150</v>
      </c>
      <c r="F47" s="58" t="s">
        <v>377</v>
      </c>
      <c r="G47" s="58" t="s">
        <v>161</v>
      </c>
      <c r="H47" s="28" t="s">
        <v>152</v>
      </c>
      <c r="I47" s="59">
        <v>41913</v>
      </c>
      <c r="J47" s="69" t="s">
        <v>270</v>
      </c>
      <c r="K47" s="69" t="s">
        <v>289</v>
      </c>
      <c r="L47" s="69" t="s">
        <v>296</v>
      </c>
      <c r="M47" s="69" t="s">
        <v>282</v>
      </c>
      <c r="N47" s="83"/>
    </row>
    <row r="48" spans="1:14" ht="12" customHeight="1" x14ac:dyDescent="0.15">
      <c r="A48" s="63">
        <f t="shared" si="0"/>
        <v>47</v>
      </c>
      <c r="B48" s="58" t="s">
        <v>23</v>
      </c>
      <c r="C48" s="58" t="s">
        <v>225</v>
      </c>
      <c r="D48" s="58">
        <v>110293</v>
      </c>
      <c r="E48" s="58" t="s">
        <v>150</v>
      </c>
      <c r="F48" s="58" t="s">
        <v>377</v>
      </c>
      <c r="G48" s="58" t="s">
        <v>161</v>
      </c>
      <c r="H48" s="28" t="s">
        <v>152</v>
      </c>
      <c r="I48" s="59">
        <v>41913</v>
      </c>
      <c r="J48" s="69" t="s">
        <v>270</v>
      </c>
      <c r="K48" s="69" t="s">
        <v>289</v>
      </c>
      <c r="L48" s="69" t="s">
        <v>296</v>
      </c>
      <c r="M48" s="69" t="s">
        <v>282</v>
      </c>
    </row>
    <row r="49" spans="1:13" ht="12" customHeight="1" x14ac:dyDescent="0.15">
      <c r="A49" s="63">
        <f t="shared" si="0"/>
        <v>48</v>
      </c>
      <c r="B49" s="58" t="s">
        <v>335</v>
      </c>
      <c r="C49" s="58" t="s">
        <v>165</v>
      </c>
      <c r="D49" s="58">
        <v>111531</v>
      </c>
      <c r="E49" s="58" t="s">
        <v>166</v>
      </c>
      <c r="F49" s="58" t="s">
        <v>167</v>
      </c>
      <c r="G49" s="58" t="s">
        <v>161</v>
      </c>
      <c r="H49" s="28" t="s">
        <v>152</v>
      </c>
      <c r="I49" s="59">
        <v>42571</v>
      </c>
      <c r="J49" s="69" t="s">
        <v>270</v>
      </c>
      <c r="K49" s="69" t="s">
        <v>289</v>
      </c>
      <c r="L49" s="69" t="s">
        <v>296</v>
      </c>
      <c r="M49" s="69" t="s">
        <v>282</v>
      </c>
    </row>
    <row r="50" spans="1:13" ht="12" customHeight="1" x14ac:dyDescent="0.15">
      <c r="A50" s="63">
        <f t="shared" si="0"/>
        <v>49</v>
      </c>
      <c r="B50" s="58" t="s">
        <v>336</v>
      </c>
      <c r="C50" s="58" t="s">
        <v>213</v>
      </c>
      <c r="D50" s="58">
        <v>111597</v>
      </c>
      <c r="E50" s="58" t="s">
        <v>166</v>
      </c>
      <c r="F50" s="58" t="s">
        <v>167</v>
      </c>
      <c r="G50" s="58" t="s">
        <v>161</v>
      </c>
      <c r="H50" s="28" t="s">
        <v>152</v>
      </c>
      <c r="I50" s="59">
        <v>42571</v>
      </c>
      <c r="J50" s="69" t="s">
        <v>270</v>
      </c>
      <c r="K50" s="69" t="s">
        <v>289</v>
      </c>
      <c r="L50" s="69" t="s">
        <v>296</v>
      </c>
      <c r="M50" s="69" t="s">
        <v>282</v>
      </c>
    </row>
    <row r="51" spans="1:13" ht="12" customHeight="1" x14ac:dyDescent="0.15">
      <c r="A51" s="63">
        <f t="shared" si="0"/>
        <v>50</v>
      </c>
      <c r="B51" s="58" t="s">
        <v>337</v>
      </c>
      <c r="C51" s="58" t="s">
        <v>212</v>
      </c>
      <c r="D51" s="58">
        <v>111564</v>
      </c>
      <c r="E51" s="58" t="s">
        <v>166</v>
      </c>
      <c r="F51" s="58" t="s">
        <v>167</v>
      </c>
      <c r="G51" s="58" t="s">
        <v>161</v>
      </c>
      <c r="H51" s="28" t="s">
        <v>152</v>
      </c>
      <c r="I51" s="59">
        <v>42571</v>
      </c>
      <c r="J51" s="69" t="s">
        <v>270</v>
      </c>
      <c r="K51" s="69" t="s">
        <v>289</v>
      </c>
      <c r="L51" s="69" t="s">
        <v>296</v>
      </c>
      <c r="M51" s="69" t="s">
        <v>282</v>
      </c>
    </row>
    <row r="52" spans="1:13" ht="12" customHeight="1" x14ac:dyDescent="0.15">
      <c r="A52" s="63">
        <f t="shared" si="0"/>
        <v>51</v>
      </c>
      <c r="B52" s="58" t="s">
        <v>338</v>
      </c>
      <c r="C52" s="58" t="s">
        <v>240</v>
      </c>
      <c r="D52" s="58">
        <v>111575</v>
      </c>
      <c r="E52" s="58" t="s">
        <v>166</v>
      </c>
      <c r="F52" s="58" t="s">
        <v>167</v>
      </c>
      <c r="G52" s="58" t="s">
        <v>161</v>
      </c>
      <c r="H52" s="28" t="s">
        <v>152</v>
      </c>
      <c r="I52" s="59">
        <v>42571</v>
      </c>
      <c r="J52" s="69" t="s">
        <v>270</v>
      </c>
      <c r="K52" s="69" t="s">
        <v>289</v>
      </c>
      <c r="L52" s="69" t="s">
        <v>296</v>
      </c>
      <c r="M52" s="69" t="s">
        <v>282</v>
      </c>
    </row>
    <row r="53" spans="1:13" ht="12" customHeight="1" x14ac:dyDescent="0.15">
      <c r="A53" s="63">
        <f t="shared" si="0"/>
        <v>52</v>
      </c>
      <c r="B53" s="58" t="s">
        <v>339</v>
      </c>
      <c r="C53" s="58" t="s">
        <v>239</v>
      </c>
      <c r="D53" s="58">
        <v>111553</v>
      </c>
      <c r="E53" s="58" t="s">
        <v>166</v>
      </c>
      <c r="F53" s="58" t="s">
        <v>167</v>
      </c>
      <c r="G53" s="58" t="s">
        <v>161</v>
      </c>
      <c r="H53" s="28" t="s">
        <v>152</v>
      </c>
      <c r="I53" s="59">
        <v>42571</v>
      </c>
      <c r="J53" s="69" t="s">
        <v>270</v>
      </c>
      <c r="K53" s="69" t="s">
        <v>289</v>
      </c>
      <c r="L53" s="69" t="s">
        <v>296</v>
      </c>
      <c r="M53" s="69" t="s">
        <v>282</v>
      </c>
    </row>
    <row r="54" spans="1:13" ht="12" customHeight="1" x14ac:dyDescent="0.15">
      <c r="A54" s="63">
        <f t="shared" si="0"/>
        <v>53</v>
      </c>
      <c r="B54" s="58" t="s">
        <v>340</v>
      </c>
      <c r="C54" s="58" t="s">
        <v>216</v>
      </c>
      <c r="D54" s="58">
        <v>111586</v>
      </c>
      <c r="E54" s="58" t="s">
        <v>166</v>
      </c>
      <c r="F54" s="58" t="s">
        <v>167</v>
      </c>
      <c r="G54" s="58" t="s">
        <v>161</v>
      </c>
      <c r="H54" s="28" t="s">
        <v>152</v>
      </c>
      <c r="I54" s="59">
        <v>42571</v>
      </c>
      <c r="J54" s="69" t="s">
        <v>270</v>
      </c>
      <c r="K54" s="69" t="s">
        <v>289</v>
      </c>
      <c r="L54" s="69" t="s">
        <v>296</v>
      </c>
      <c r="M54" s="69" t="s">
        <v>282</v>
      </c>
    </row>
    <row r="55" spans="1:13" ht="12" customHeight="1" x14ac:dyDescent="0.15">
      <c r="A55" s="63">
        <f t="shared" si="0"/>
        <v>54</v>
      </c>
      <c r="B55" s="58" t="s">
        <v>341</v>
      </c>
      <c r="C55" s="58" t="s">
        <v>245</v>
      </c>
      <c r="D55" s="58">
        <v>111542</v>
      </c>
      <c r="E55" s="58" t="s">
        <v>166</v>
      </c>
      <c r="F55" s="58" t="s">
        <v>167</v>
      </c>
      <c r="G55" s="58" t="s">
        <v>161</v>
      </c>
      <c r="H55" s="28" t="s">
        <v>152</v>
      </c>
      <c r="I55" s="59">
        <v>42571</v>
      </c>
      <c r="J55" s="69" t="s">
        <v>270</v>
      </c>
      <c r="K55" s="69" t="s">
        <v>289</v>
      </c>
      <c r="L55" s="69" t="s">
        <v>296</v>
      </c>
      <c r="M55" s="69" t="s">
        <v>282</v>
      </c>
    </row>
    <row r="56" spans="1:13" ht="12" customHeight="1" x14ac:dyDescent="0.15">
      <c r="A56" s="63">
        <f t="shared" si="0"/>
        <v>55</v>
      </c>
      <c r="B56" s="58" t="s">
        <v>69</v>
      </c>
      <c r="C56" s="58" t="s">
        <v>226</v>
      </c>
      <c r="D56" s="58">
        <v>111250</v>
      </c>
      <c r="E56" s="58" t="s">
        <v>182</v>
      </c>
      <c r="F56" s="58" t="s">
        <v>167</v>
      </c>
      <c r="G56" s="58" t="s">
        <v>161</v>
      </c>
      <c r="H56" s="28" t="s">
        <v>152</v>
      </c>
      <c r="I56" s="59">
        <v>42457</v>
      </c>
      <c r="J56" s="69" t="s">
        <v>270</v>
      </c>
      <c r="K56" s="69" t="s">
        <v>289</v>
      </c>
      <c r="L56" s="69" t="s">
        <v>296</v>
      </c>
      <c r="M56" s="69" t="s">
        <v>282</v>
      </c>
    </row>
    <row r="57" spans="1:13" ht="12" customHeight="1" x14ac:dyDescent="0.15">
      <c r="A57" s="63">
        <f t="shared" si="0"/>
        <v>56</v>
      </c>
      <c r="B57" s="58" t="s">
        <v>42</v>
      </c>
      <c r="C57" s="58" t="s">
        <v>220</v>
      </c>
      <c r="D57" s="58">
        <v>110798</v>
      </c>
      <c r="E57" s="58" t="s">
        <v>182</v>
      </c>
      <c r="F57" s="58" t="s">
        <v>167</v>
      </c>
      <c r="G57" s="58" t="s">
        <v>161</v>
      </c>
      <c r="H57" s="28" t="s">
        <v>152</v>
      </c>
      <c r="I57" s="59">
        <v>42457</v>
      </c>
      <c r="J57" s="69" t="s">
        <v>270</v>
      </c>
      <c r="K57" s="69" t="s">
        <v>289</v>
      </c>
      <c r="L57" s="69" t="s">
        <v>296</v>
      </c>
      <c r="M57" s="69" t="s">
        <v>282</v>
      </c>
    </row>
    <row r="58" spans="1:13" ht="12" customHeight="1" x14ac:dyDescent="0.15">
      <c r="A58" s="63">
        <f t="shared" si="0"/>
        <v>57</v>
      </c>
      <c r="B58" s="58" t="s">
        <v>74</v>
      </c>
      <c r="C58" s="58" t="s">
        <v>211</v>
      </c>
      <c r="D58" s="58">
        <v>111418</v>
      </c>
      <c r="E58" s="58" t="s">
        <v>174</v>
      </c>
      <c r="F58" s="58" t="s">
        <v>377</v>
      </c>
      <c r="G58" s="58" t="s">
        <v>161</v>
      </c>
      <c r="H58" s="28" t="s">
        <v>152</v>
      </c>
      <c r="I58" s="59">
        <v>42243</v>
      </c>
      <c r="J58" s="69" t="s">
        <v>270</v>
      </c>
      <c r="K58" s="69" t="s">
        <v>289</v>
      </c>
      <c r="L58" s="69" t="s">
        <v>296</v>
      </c>
      <c r="M58" s="69" t="s">
        <v>282</v>
      </c>
    </row>
    <row r="59" spans="1:13" ht="12" customHeight="1" x14ac:dyDescent="0.15">
      <c r="A59" s="63">
        <f t="shared" si="0"/>
        <v>58</v>
      </c>
      <c r="B59" s="58" t="s">
        <v>26</v>
      </c>
      <c r="C59" s="58" t="s">
        <v>255</v>
      </c>
      <c r="D59" s="58">
        <v>110350</v>
      </c>
      <c r="E59" s="58" t="s">
        <v>150</v>
      </c>
      <c r="F59" s="58" t="s">
        <v>167</v>
      </c>
      <c r="G59" s="58" t="s">
        <v>161</v>
      </c>
      <c r="H59" s="28" t="s">
        <v>152</v>
      </c>
      <c r="I59" s="59">
        <v>41913</v>
      </c>
      <c r="J59" s="69" t="s">
        <v>271</v>
      </c>
      <c r="K59" s="69" t="s">
        <v>289</v>
      </c>
      <c r="L59" s="69" t="s">
        <v>296</v>
      </c>
      <c r="M59" s="69" t="s">
        <v>282</v>
      </c>
    </row>
    <row r="60" spans="1:13" ht="12" customHeight="1" x14ac:dyDescent="0.15">
      <c r="A60" s="63">
        <f t="shared" si="0"/>
        <v>59</v>
      </c>
      <c r="B60" s="58" t="s">
        <v>29</v>
      </c>
      <c r="C60" s="58" t="s">
        <v>356</v>
      </c>
      <c r="D60" s="58">
        <v>110462</v>
      </c>
      <c r="E60" s="58" t="s">
        <v>154</v>
      </c>
      <c r="F60" s="58" t="s">
        <v>208</v>
      </c>
      <c r="G60" s="58" t="s">
        <v>161</v>
      </c>
      <c r="H60" s="28" t="s">
        <v>152</v>
      </c>
      <c r="I60" s="59">
        <v>41771</v>
      </c>
      <c r="J60" s="69" t="s">
        <v>208</v>
      </c>
      <c r="K60" s="69" t="s">
        <v>289</v>
      </c>
      <c r="L60" s="69" t="s">
        <v>296</v>
      </c>
      <c r="M60" s="69" t="s">
        <v>282</v>
      </c>
    </row>
    <row r="61" spans="1:13" ht="12" customHeight="1" x14ac:dyDescent="0.15">
      <c r="A61" s="63">
        <f t="shared" si="0"/>
        <v>60</v>
      </c>
      <c r="B61" s="58" t="s">
        <v>28</v>
      </c>
      <c r="C61" s="58" t="s">
        <v>180</v>
      </c>
      <c r="D61" s="58">
        <v>110440</v>
      </c>
      <c r="E61" s="58" t="s">
        <v>150</v>
      </c>
      <c r="F61" s="58" t="s">
        <v>167</v>
      </c>
      <c r="G61" s="58" t="s">
        <v>161</v>
      </c>
      <c r="H61" s="28" t="s">
        <v>152</v>
      </c>
      <c r="I61" s="59">
        <v>41913</v>
      </c>
      <c r="J61" s="69" t="s">
        <v>270</v>
      </c>
      <c r="K61" s="69" t="s">
        <v>289</v>
      </c>
      <c r="L61" s="69" t="s">
        <v>296</v>
      </c>
      <c r="M61" s="69" t="s">
        <v>282</v>
      </c>
    </row>
    <row r="62" spans="1:13" ht="12" customHeight="1" x14ac:dyDescent="0.15">
      <c r="A62" s="63">
        <f t="shared" si="0"/>
        <v>61</v>
      </c>
      <c r="B62" s="58" t="s">
        <v>342</v>
      </c>
      <c r="C62" s="58" t="s">
        <v>173</v>
      </c>
      <c r="D62" s="58">
        <v>110844</v>
      </c>
      <c r="E62" s="58" t="s">
        <v>174</v>
      </c>
      <c r="F62" s="58" t="s">
        <v>167</v>
      </c>
      <c r="G62" s="58" t="s">
        <v>161</v>
      </c>
      <c r="H62" s="28" t="s">
        <v>152</v>
      </c>
      <c r="I62" s="59">
        <v>42243</v>
      </c>
      <c r="J62" s="69" t="s">
        <v>271</v>
      </c>
      <c r="K62" s="69" t="s">
        <v>289</v>
      </c>
      <c r="L62" s="69" t="s">
        <v>296</v>
      </c>
      <c r="M62" s="69" t="s">
        <v>282</v>
      </c>
    </row>
    <row r="63" spans="1:13" ht="12" customHeight="1" x14ac:dyDescent="0.15">
      <c r="A63" s="63">
        <f t="shared" si="0"/>
        <v>62</v>
      </c>
      <c r="B63" s="58" t="s">
        <v>25</v>
      </c>
      <c r="C63" s="58" t="s">
        <v>247</v>
      </c>
      <c r="D63" s="58">
        <v>110349</v>
      </c>
      <c r="E63" s="58" t="s">
        <v>150</v>
      </c>
      <c r="F63" s="58" t="s">
        <v>167</v>
      </c>
      <c r="G63" s="58" t="s">
        <v>161</v>
      </c>
      <c r="H63" s="28" t="s">
        <v>152</v>
      </c>
      <c r="I63" s="59">
        <v>41913</v>
      </c>
      <c r="J63" s="69" t="s">
        <v>271</v>
      </c>
      <c r="K63" s="69" t="s">
        <v>289</v>
      </c>
      <c r="L63" s="69" t="s">
        <v>296</v>
      </c>
      <c r="M63" s="69" t="s">
        <v>282</v>
      </c>
    </row>
    <row r="64" spans="1:13" ht="12" customHeight="1" x14ac:dyDescent="0.15">
      <c r="A64" s="63">
        <f t="shared" si="0"/>
        <v>63</v>
      </c>
      <c r="B64" s="58" t="s">
        <v>15</v>
      </c>
      <c r="C64" s="58" t="s">
        <v>241</v>
      </c>
      <c r="D64" s="58">
        <v>110158</v>
      </c>
      <c r="E64" s="58" t="s">
        <v>150</v>
      </c>
      <c r="F64" s="58" t="s">
        <v>377</v>
      </c>
      <c r="G64" s="58" t="s">
        <v>161</v>
      </c>
      <c r="H64" s="28" t="s">
        <v>152</v>
      </c>
      <c r="I64" s="59">
        <v>41913</v>
      </c>
      <c r="J64" s="69" t="s">
        <v>271</v>
      </c>
      <c r="K64" s="69" t="s">
        <v>289</v>
      </c>
      <c r="L64" s="69" t="s">
        <v>296</v>
      </c>
      <c r="M64" s="69" t="s">
        <v>282</v>
      </c>
    </row>
    <row r="65" spans="1:13" ht="12" customHeight="1" x14ac:dyDescent="0.15">
      <c r="A65" s="63">
        <f t="shared" si="0"/>
        <v>64</v>
      </c>
      <c r="B65" s="58" t="s">
        <v>62</v>
      </c>
      <c r="C65" s="58" t="s">
        <v>178</v>
      </c>
      <c r="D65" s="58">
        <v>111160</v>
      </c>
      <c r="E65" s="58" t="s">
        <v>174</v>
      </c>
      <c r="F65" s="58" t="s">
        <v>377</v>
      </c>
      <c r="G65" s="58" t="s">
        <v>161</v>
      </c>
      <c r="H65" s="28" t="s">
        <v>152</v>
      </c>
      <c r="I65" s="59">
        <v>42243</v>
      </c>
      <c r="J65" s="69" t="s">
        <v>270</v>
      </c>
      <c r="K65" s="69" t="s">
        <v>289</v>
      </c>
      <c r="L65" s="69" t="s">
        <v>296</v>
      </c>
      <c r="M65" s="69" t="s">
        <v>282</v>
      </c>
    </row>
    <row r="66" spans="1:13" ht="12" customHeight="1" x14ac:dyDescent="0.15">
      <c r="A66" s="63">
        <f t="shared" si="0"/>
        <v>65</v>
      </c>
      <c r="B66" s="58" t="s">
        <v>8</v>
      </c>
      <c r="C66" s="58" t="s">
        <v>237</v>
      </c>
      <c r="D66" s="58">
        <v>110057</v>
      </c>
      <c r="E66" s="58" t="s">
        <v>150</v>
      </c>
      <c r="F66" s="58" t="s">
        <v>167</v>
      </c>
      <c r="G66" s="58" t="s">
        <v>161</v>
      </c>
      <c r="H66" s="28" t="s">
        <v>152</v>
      </c>
      <c r="I66" s="59">
        <v>41913</v>
      </c>
      <c r="J66" s="69" t="s">
        <v>271</v>
      </c>
      <c r="K66" s="69" t="s">
        <v>289</v>
      </c>
      <c r="L66" s="69" t="s">
        <v>296</v>
      </c>
      <c r="M66" s="69" t="s">
        <v>282</v>
      </c>
    </row>
    <row r="67" spans="1:13" ht="12" customHeight="1" x14ac:dyDescent="0.15">
      <c r="A67" s="63">
        <f t="shared" ref="A67:A104" si="1">ROW()-1</f>
        <v>66</v>
      </c>
      <c r="B67" s="58" t="s">
        <v>52</v>
      </c>
      <c r="C67" s="58" t="s">
        <v>221</v>
      </c>
      <c r="D67" s="58">
        <v>110967</v>
      </c>
      <c r="E67" s="58" t="s">
        <v>174</v>
      </c>
      <c r="F67" s="58" t="s">
        <v>377</v>
      </c>
      <c r="G67" s="58" t="s">
        <v>161</v>
      </c>
      <c r="H67" s="28" t="s">
        <v>152</v>
      </c>
      <c r="I67" s="59">
        <v>42243</v>
      </c>
      <c r="J67" s="69" t="s">
        <v>270</v>
      </c>
      <c r="K67" s="69" t="s">
        <v>289</v>
      </c>
      <c r="L67" s="69" t="s">
        <v>296</v>
      </c>
      <c r="M67" s="69" t="s">
        <v>282</v>
      </c>
    </row>
    <row r="68" spans="1:13" ht="12" customHeight="1" x14ac:dyDescent="0.15">
      <c r="A68" s="63">
        <f t="shared" si="1"/>
        <v>67</v>
      </c>
      <c r="B68" s="58" t="s">
        <v>355</v>
      </c>
      <c r="C68" s="58" t="s">
        <v>364</v>
      </c>
      <c r="D68" s="58">
        <v>111788</v>
      </c>
      <c r="E68" s="58" t="s">
        <v>374</v>
      </c>
      <c r="F68" s="58" t="s">
        <v>376</v>
      </c>
      <c r="G68" s="58" t="s">
        <v>151</v>
      </c>
      <c r="H68" s="28" t="s">
        <v>152</v>
      </c>
      <c r="I68" s="59" t="s">
        <v>371</v>
      </c>
      <c r="J68" s="69" t="s">
        <v>164</v>
      </c>
      <c r="K68" s="69" t="s">
        <v>286</v>
      </c>
      <c r="L68" s="69" t="s">
        <v>295</v>
      </c>
      <c r="M68" s="69" t="s">
        <v>281</v>
      </c>
    </row>
    <row r="69" spans="1:13" ht="12" customHeight="1" x14ac:dyDescent="0.15">
      <c r="A69" s="63">
        <f t="shared" si="1"/>
        <v>68</v>
      </c>
      <c r="B69" s="58" t="s">
        <v>76</v>
      </c>
      <c r="C69" s="58" t="s">
        <v>153</v>
      </c>
      <c r="D69" s="58">
        <v>111452</v>
      </c>
      <c r="E69" s="58" t="s">
        <v>154</v>
      </c>
      <c r="F69" s="58" t="s">
        <v>378</v>
      </c>
      <c r="G69" s="58" t="s">
        <v>156</v>
      </c>
      <c r="H69" s="28" t="s">
        <v>366</v>
      </c>
      <c r="I69" s="59">
        <v>42248</v>
      </c>
      <c r="J69" s="69" t="s">
        <v>270</v>
      </c>
      <c r="K69" s="69" t="s">
        <v>288</v>
      </c>
      <c r="L69" s="69" t="s">
        <v>298</v>
      </c>
      <c r="M69" s="69" t="s">
        <v>283</v>
      </c>
    </row>
    <row r="70" spans="1:13" ht="12" customHeight="1" x14ac:dyDescent="0.15">
      <c r="A70" s="63">
        <f t="shared" si="1"/>
        <v>69</v>
      </c>
      <c r="B70" s="58" t="s">
        <v>56</v>
      </c>
      <c r="C70" s="58" t="s">
        <v>230</v>
      </c>
      <c r="D70" s="58">
        <v>111058</v>
      </c>
      <c r="E70" s="58" t="s">
        <v>182</v>
      </c>
      <c r="F70" s="58" t="s">
        <v>378</v>
      </c>
      <c r="G70" s="58" t="s">
        <v>156</v>
      </c>
      <c r="H70" s="28" t="s">
        <v>366</v>
      </c>
      <c r="I70" s="59">
        <v>42457</v>
      </c>
      <c r="J70" s="69" t="s">
        <v>270</v>
      </c>
      <c r="K70" s="69" t="s">
        <v>288</v>
      </c>
      <c r="L70" s="69" t="s">
        <v>298</v>
      </c>
      <c r="M70" s="69" t="s">
        <v>283</v>
      </c>
    </row>
    <row r="71" spans="1:13" ht="12" customHeight="1" x14ac:dyDescent="0.15">
      <c r="A71" s="63">
        <f t="shared" si="1"/>
        <v>70</v>
      </c>
      <c r="B71" s="58" t="s">
        <v>343</v>
      </c>
      <c r="C71" s="58" t="s">
        <v>218</v>
      </c>
      <c r="D71" s="58">
        <v>111711</v>
      </c>
      <c r="E71" s="58" t="s">
        <v>160</v>
      </c>
      <c r="F71" s="58" t="s">
        <v>160</v>
      </c>
      <c r="G71" s="58" t="s">
        <v>156</v>
      </c>
      <c r="H71" s="28" t="s">
        <v>366</v>
      </c>
      <c r="I71" s="59">
        <v>42713</v>
      </c>
      <c r="J71" s="69" t="s">
        <v>160</v>
      </c>
      <c r="K71" s="81" t="s">
        <v>287</v>
      </c>
      <c r="L71" s="69" t="s">
        <v>313</v>
      </c>
      <c r="M71" s="81" t="s">
        <v>284</v>
      </c>
    </row>
    <row r="72" spans="1:13" ht="12" customHeight="1" x14ac:dyDescent="0.15">
      <c r="A72" s="63">
        <f t="shared" si="1"/>
        <v>71</v>
      </c>
      <c r="B72" s="58" t="s">
        <v>344</v>
      </c>
      <c r="C72" s="58" t="s">
        <v>357</v>
      </c>
      <c r="D72" s="58">
        <v>111722</v>
      </c>
      <c r="E72" s="58" t="s">
        <v>184</v>
      </c>
      <c r="F72" s="58" t="s">
        <v>184</v>
      </c>
      <c r="G72" s="58" t="s">
        <v>156</v>
      </c>
      <c r="H72" s="28" t="s">
        <v>366</v>
      </c>
      <c r="I72" s="59">
        <v>42884</v>
      </c>
      <c r="J72" s="69" t="s">
        <v>184</v>
      </c>
      <c r="K72" s="81" t="s">
        <v>287</v>
      </c>
      <c r="L72" s="69" t="s">
        <v>313</v>
      </c>
      <c r="M72" s="81" t="s">
        <v>284</v>
      </c>
    </row>
    <row r="73" spans="1:13" ht="12" customHeight="1" x14ac:dyDescent="0.15">
      <c r="A73" s="63">
        <f t="shared" si="1"/>
        <v>72</v>
      </c>
      <c r="B73" s="58" t="s">
        <v>31</v>
      </c>
      <c r="C73" s="58" t="s">
        <v>201</v>
      </c>
      <c r="D73" s="58">
        <v>110529</v>
      </c>
      <c r="E73" s="58" t="s">
        <v>198</v>
      </c>
      <c r="F73" s="58" t="s">
        <v>198</v>
      </c>
      <c r="G73" s="58" t="s">
        <v>156</v>
      </c>
      <c r="H73" s="28" t="s">
        <v>366</v>
      </c>
      <c r="I73" s="59">
        <v>42010</v>
      </c>
      <c r="J73" s="69" t="s">
        <v>273</v>
      </c>
      <c r="K73" s="81" t="s">
        <v>287</v>
      </c>
      <c r="L73" s="69" t="s">
        <v>313</v>
      </c>
      <c r="M73" s="81" t="s">
        <v>284</v>
      </c>
    </row>
    <row r="74" spans="1:13" ht="12" customHeight="1" x14ac:dyDescent="0.15">
      <c r="A74" s="63">
        <f t="shared" si="1"/>
        <v>73</v>
      </c>
      <c r="B74" s="58" t="s">
        <v>49</v>
      </c>
      <c r="C74" s="58" t="s">
        <v>228</v>
      </c>
      <c r="D74" s="58">
        <v>110923</v>
      </c>
      <c r="E74" s="58" t="s">
        <v>154</v>
      </c>
      <c r="F74" s="58" t="s">
        <v>171</v>
      </c>
      <c r="G74" s="58" t="s">
        <v>156</v>
      </c>
      <c r="H74" s="28" t="s">
        <v>366</v>
      </c>
      <c r="I74" s="59">
        <v>42248</v>
      </c>
      <c r="J74" s="69" t="s">
        <v>270</v>
      </c>
      <c r="K74" s="69" t="s">
        <v>288</v>
      </c>
      <c r="L74" s="69" t="s">
        <v>298</v>
      </c>
      <c r="M74" s="69" t="s">
        <v>283</v>
      </c>
    </row>
    <row r="75" spans="1:13" ht="12" customHeight="1" x14ac:dyDescent="0.15">
      <c r="A75" s="63">
        <f t="shared" si="1"/>
        <v>74</v>
      </c>
      <c r="B75" s="58" t="s">
        <v>45</v>
      </c>
      <c r="C75" s="58" t="s">
        <v>243</v>
      </c>
      <c r="D75" s="58">
        <v>110822</v>
      </c>
      <c r="E75" s="58" t="s">
        <v>154</v>
      </c>
      <c r="F75" s="58" t="s">
        <v>171</v>
      </c>
      <c r="G75" s="58" t="s">
        <v>156</v>
      </c>
      <c r="H75" s="28" t="s">
        <v>366</v>
      </c>
      <c r="I75" s="59">
        <v>42248</v>
      </c>
      <c r="J75" s="69" t="s">
        <v>270</v>
      </c>
      <c r="K75" s="69" t="s">
        <v>288</v>
      </c>
      <c r="L75" s="69" t="s">
        <v>298</v>
      </c>
      <c r="M75" s="69" t="s">
        <v>283</v>
      </c>
    </row>
    <row r="76" spans="1:13" ht="12" customHeight="1" x14ac:dyDescent="0.15">
      <c r="A76" s="63">
        <f t="shared" si="1"/>
        <v>75</v>
      </c>
      <c r="B76" s="58" t="s">
        <v>61</v>
      </c>
      <c r="C76" s="58" t="s">
        <v>219</v>
      </c>
      <c r="D76" s="58">
        <v>111159</v>
      </c>
      <c r="E76" s="58" t="s">
        <v>154</v>
      </c>
      <c r="F76" s="58" t="s">
        <v>171</v>
      </c>
      <c r="G76" s="58" t="s">
        <v>156</v>
      </c>
      <c r="H76" s="28" t="s">
        <v>366</v>
      </c>
      <c r="I76" s="59">
        <v>42248</v>
      </c>
      <c r="J76" s="69" t="s">
        <v>270</v>
      </c>
      <c r="K76" s="69" t="s">
        <v>288</v>
      </c>
      <c r="L76" s="69" t="s">
        <v>298</v>
      </c>
      <c r="M76" s="69" t="s">
        <v>283</v>
      </c>
    </row>
    <row r="77" spans="1:13" ht="12" customHeight="1" x14ac:dyDescent="0.15">
      <c r="A77" s="63">
        <f t="shared" si="1"/>
        <v>76</v>
      </c>
      <c r="B77" s="58" t="s">
        <v>24</v>
      </c>
      <c r="C77" s="58" t="s">
        <v>254</v>
      </c>
      <c r="D77" s="58">
        <v>110316</v>
      </c>
      <c r="E77" s="58" t="s">
        <v>154</v>
      </c>
      <c r="F77" s="58" t="s">
        <v>208</v>
      </c>
      <c r="G77" s="58" t="s">
        <v>156</v>
      </c>
      <c r="H77" s="28" t="s">
        <v>366</v>
      </c>
      <c r="I77" s="59">
        <v>41792</v>
      </c>
      <c r="J77" s="69" t="s">
        <v>208</v>
      </c>
      <c r="K77" s="69" t="s">
        <v>288</v>
      </c>
      <c r="L77" s="69" t="s">
        <v>298</v>
      </c>
      <c r="M77" s="69" t="s">
        <v>283</v>
      </c>
    </row>
    <row r="78" spans="1:13" ht="12" customHeight="1" x14ac:dyDescent="0.15">
      <c r="A78" s="63">
        <f t="shared" si="1"/>
        <v>77</v>
      </c>
      <c r="B78" s="58" t="s">
        <v>70</v>
      </c>
      <c r="C78" s="58" t="s">
        <v>209</v>
      </c>
      <c r="D78" s="58">
        <v>111283</v>
      </c>
      <c r="E78" s="58" t="s">
        <v>154</v>
      </c>
      <c r="F78" s="58" t="s">
        <v>155</v>
      </c>
      <c r="G78" s="58" t="s">
        <v>156</v>
      </c>
      <c r="H78" s="28" t="s">
        <v>366</v>
      </c>
      <c r="I78" s="59">
        <v>42248</v>
      </c>
      <c r="J78" s="69" t="s">
        <v>270</v>
      </c>
      <c r="K78" s="69" t="s">
        <v>288</v>
      </c>
      <c r="L78" s="69" t="s">
        <v>298</v>
      </c>
      <c r="M78" s="69" t="s">
        <v>283</v>
      </c>
    </row>
    <row r="79" spans="1:13" ht="12" customHeight="1" x14ac:dyDescent="0.15">
      <c r="A79" s="63">
        <f t="shared" si="1"/>
        <v>78</v>
      </c>
      <c r="B79" s="58" t="s">
        <v>345</v>
      </c>
      <c r="C79" s="58" t="s">
        <v>215</v>
      </c>
      <c r="D79" s="58">
        <v>111632</v>
      </c>
      <c r="E79" s="58" t="s">
        <v>150</v>
      </c>
      <c r="F79" s="58" t="s">
        <v>171</v>
      </c>
      <c r="G79" s="58" t="s">
        <v>156</v>
      </c>
      <c r="H79" s="28" t="s">
        <v>366</v>
      </c>
      <c r="I79" s="59">
        <v>42536</v>
      </c>
      <c r="J79" s="69" t="s">
        <v>270</v>
      </c>
      <c r="K79" s="69" t="s">
        <v>288</v>
      </c>
      <c r="L79" s="69" t="s">
        <v>298</v>
      </c>
      <c r="M79" s="69" t="s">
        <v>283</v>
      </c>
    </row>
    <row r="80" spans="1:13" ht="12" customHeight="1" x14ac:dyDescent="0.15">
      <c r="A80" s="63">
        <f t="shared" si="1"/>
        <v>79</v>
      </c>
      <c r="B80" s="58" t="s">
        <v>58</v>
      </c>
      <c r="C80" s="58" t="s">
        <v>257</v>
      </c>
      <c r="D80" s="58">
        <v>111126</v>
      </c>
      <c r="E80" s="58" t="s">
        <v>154</v>
      </c>
      <c r="F80" s="58" t="s">
        <v>155</v>
      </c>
      <c r="G80" s="58" t="s">
        <v>156</v>
      </c>
      <c r="H80" s="28" t="s">
        <v>366</v>
      </c>
      <c r="I80" s="59">
        <v>42248</v>
      </c>
      <c r="J80" s="69" t="s">
        <v>270</v>
      </c>
      <c r="K80" s="69" t="s">
        <v>288</v>
      </c>
      <c r="L80" s="69" t="s">
        <v>298</v>
      </c>
      <c r="M80" s="69" t="s">
        <v>283</v>
      </c>
    </row>
    <row r="81" spans="1:13" ht="12" customHeight="1" x14ac:dyDescent="0.15">
      <c r="A81" s="63">
        <f t="shared" si="1"/>
        <v>80</v>
      </c>
      <c r="B81" s="58" t="s">
        <v>9</v>
      </c>
      <c r="C81" s="58" t="s">
        <v>191</v>
      </c>
      <c r="D81" s="58">
        <v>110068</v>
      </c>
      <c r="E81" s="58" t="s">
        <v>154</v>
      </c>
      <c r="F81" s="58" t="s">
        <v>155</v>
      </c>
      <c r="G81" s="58" t="s">
        <v>156</v>
      </c>
      <c r="H81" s="28" t="s">
        <v>366</v>
      </c>
      <c r="I81" s="59">
        <v>42248</v>
      </c>
      <c r="J81" s="69" t="s">
        <v>270</v>
      </c>
      <c r="K81" s="69" t="s">
        <v>288</v>
      </c>
      <c r="L81" s="69" t="s">
        <v>298</v>
      </c>
      <c r="M81" s="69" t="s">
        <v>283</v>
      </c>
    </row>
    <row r="82" spans="1:13" ht="12" customHeight="1" x14ac:dyDescent="0.15">
      <c r="A82" s="63">
        <f t="shared" si="1"/>
        <v>81</v>
      </c>
      <c r="B82" s="58" t="s">
        <v>40</v>
      </c>
      <c r="C82" s="58" t="s">
        <v>177</v>
      </c>
      <c r="D82" s="58">
        <v>110765</v>
      </c>
      <c r="E82" s="58" t="s">
        <v>154</v>
      </c>
      <c r="F82" s="58" t="s">
        <v>155</v>
      </c>
      <c r="G82" s="58" t="s">
        <v>156</v>
      </c>
      <c r="H82" s="28" t="s">
        <v>366</v>
      </c>
      <c r="I82" s="59">
        <v>42248</v>
      </c>
      <c r="J82" s="69" t="s">
        <v>270</v>
      </c>
      <c r="K82" s="69" t="s">
        <v>288</v>
      </c>
      <c r="L82" s="69" t="s">
        <v>298</v>
      </c>
      <c r="M82" s="69" t="s">
        <v>283</v>
      </c>
    </row>
    <row r="83" spans="1:13" ht="12" customHeight="1" x14ac:dyDescent="0.15">
      <c r="A83" s="63">
        <f t="shared" si="1"/>
        <v>82</v>
      </c>
      <c r="B83" s="58" t="s">
        <v>66</v>
      </c>
      <c r="C83" s="58" t="s">
        <v>186</v>
      </c>
      <c r="D83" s="58">
        <v>111205</v>
      </c>
      <c r="E83" s="58" t="s">
        <v>154</v>
      </c>
      <c r="F83" s="58" t="s">
        <v>171</v>
      </c>
      <c r="G83" s="58" t="s">
        <v>156</v>
      </c>
      <c r="H83" s="28" t="s">
        <v>366</v>
      </c>
      <c r="I83" s="59">
        <v>42248</v>
      </c>
      <c r="J83" s="69" t="s">
        <v>270</v>
      </c>
      <c r="K83" s="69" t="s">
        <v>288</v>
      </c>
      <c r="L83" s="69" t="s">
        <v>298</v>
      </c>
      <c r="M83" s="69" t="s">
        <v>283</v>
      </c>
    </row>
    <row r="84" spans="1:13" ht="12" customHeight="1" x14ac:dyDescent="0.15">
      <c r="A84" s="63">
        <f t="shared" si="1"/>
        <v>83</v>
      </c>
      <c r="B84" s="58" t="s">
        <v>346</v>
      </c>
      <c r="C84" s="58" t="s">
        <v>258</v>
      </c>
      <c r="D84" s="58">
        <v>111643</v>
      </c>
      <c r="E84" s="58" t="s">
        <v>150</v>
      </c>
      <c r="F84" s="58" t="s">
        <v>155</v>
      </c>
      <c r="G84" s="58" t="s">
        <v>156</v>
      </c>
      <c r="H84" s="28" t="s">
        <v>366</v>
      </c>
      <c r="I84" s="59">
        <v>42536</v>
      </c>
      <c r="J84" s="69" t="s">
        <v>270</v>
      </c>
      <c r="K84" s="69" t="s">
        <v>288</v>
      </c>
      <c r="L84" s="69" t="s">
        <v>298</v>
      </c>
      <c r="M84" s="69" t="s">
        <v>283</v>
      </c>
    </row>
    <row r="85" spans="1:13" ht="12" customHeight="1" x14ac:dyDescent="0.15">
      <c r="A85" s="63">
        <f t="shared" si="1"/>
        <v>84</v>
      </c>
      <c r="B85" s="58" t="s">
        <v>81</v>
      </c>
      <c r="C85" s="58" t="s">
        <v>246</v>
      </c>
      <c r="D85" s="58">
        <v>111519</v>
      </c>
      <c r="E85" s="58" t="s">
        <v>154</v>
      </c>
      <c r="F85" s="58" t="s">
        <v>208</v>
      </c>
      <c r="G85" s="58" t="s">
        <v>156</v>
      </c>
      <c r="H85" s="28" t="s">
        <v>366</v>
      </c>
      <c r="I85" s="59">
        <v>42492</v>
      </c>
      <c r="J85" s="69" t="s">
        <v>208</v>
      </c>
      <c r="K85" s="69" t="s">
        <v>288</v>
      </c>
      <c r="L85" s="69" t="s">
        <v>298</v>
      </c>
      <c r="M85" s="69" t="s">
        <v>283</v>
      </c>
    </row>
    <row r="86" spans="1:13" ht="12" customHeight="1" x14ac:dyDescent="0.15">
      <c r="A86" s="63">
        <f t="shared" si="1"/>
        <v>85</v>
      </c>
      <c r="B86" s="58" t="s">
        <v>53</v>
      </c>
      <c r="C86" s="58" t="s">
        <v>259</v>
      </c>
      <c r="D86" s="58">
        <v>111003</v>
      </c>
      <c r="E86" s="58" t="s">
        <v>154</v>
      </c>
      <c r="F86" s="58" t="s">
        <v>208</v>
      </c>
      <c r="G86" s="58" t="s">
        <v>156</v>
      </c>
      <c r="H86" s="28" t="s">
        <v>366</v>
      </c>
      <c r="I86" s="59">
        <v>42464</v>
      </c>
      <c r="J86" s="69" t="s">
        <v>208</v>
      </c>
      <c r="K86" s="69" t="s">
        <v>288</v>
      </c>
      <c r="L86" s="69" t="s">
        <v>298</v>
      </c>
      <c r="M86" s="69" t="s">
        <v>283</v>
      </c>
    </row>
    <row r="87" spans="1:13" ht="12" customHeight="1" x14ac:dyDescent="0.15">
      <c r="A87" s="63">
        <f t="shared" si="1"/>
        <v>86</v>
      </c>
      <c r="B87" s="58" t="s">
        <v>55</v>
      </c>
      <c r="C87" s="58" t="s">
        <v>183</v>
      </c>
      <c r="D87" s="58">
        <v>111036</v>
      </c>
      <c r="E87" s="58" t="s">
        <v>154</v>
      </c>
      <c r="F87" s="58" t="s">
        <v>171</v>
      </c>
      <c r="G87" s="58" t="s">
        <v>156</v>
      </c>
      <c r="H87" s="28" t="s">
        <v>366</v>
      </c>
      <c r="I87" s="59">
        <v>42248</v>
      </c>
      <c r="J87" s="69" t="s">
        <v>270</v>
      </c>
      <c r="K87" s="69" t="s">
        <v>288</v>
      </c>
      <c r="L87" s="69" t="s">
        <v>298</v>
      </c>
      <c r="M87" s="69" t="s">
        <v>283</v>
      </c>
    </row>
    <row r="88" spans="1:13" ht="12" customHeight="1" x14ac:dyDescent="0.15">
      <c r="A88" s="63">
        <f t="shared" si="1"/>
        <v>87</v>
      </c>
      <c r="B88" s="58" t="s">
        <v>43</v>
      </c>
      <c r="C88" s="58" t="s">
        <v>207</v>
      </c>
      <c r="D88" s="58">
        <v>110800</v>
      </c>
      <c r="E88" s="58" t="s">
        <v>154</v>
      </c>
      <c r="F88" s="58" t="s">
        <v>171</v>
      </c>
      <c r="G88" s="58" t="s">
        <v>156</v>
      </c>
      <c r="H88" s="28" t="s">
        <v>366</v>
      </c>
      <c r="I88" s="59">
        <v>42248</v>
      </c>
      <c r="J88" s="69" t="s">
        <v>270</v>
      </c>
      <c r="K88" s="69" t="s">
        <v>288</v>
      </c>
      <c r="L88" s="69" t="s">
        <v>298</v>
      </c>
      <c r="M88" s="69" t="s">
        <v>283</v>
      </c>
    </row>
    <row r="89" spans="1:13" ht="12" customHeight="1" x14ac:dyDescent="0.15">
      <c r="A89" s="63">
        <f t="shared" si="1"/>
        <v>88</v>
      </c>
      <c r="B89" s="58" t="s">
        <v>37</v>
      </c>
      <c r="C89" s="58" t="s">
        <v>175</v>
      </c>
      <c r="D89" s="58">
        <v>110675</v>
      </c>
      <c r="E89" s="58" t="s">
        <v>154</v>
      </c>
      <c r="F89" s="58" t="s">
        <v>171</v>
      </c>
      <c r="G89" s="58" t="s">
        <v>156</v>
      </c>
      <c r="H89" s="28" t="s">
        <v>366</v>
      </c>
      <c r="I89" s="59">
        <v>42248</v>
      </c>
      <c r="J89" s="69" t="s">
        <v>270</v>
      </c>
      <c r="K89" s="69" t="s">
        <v>288</v>
      </c>
      <c r="L89" s="69" t="s">
        <v>298</v>
      </c>
      <c r="M89" s="69" t="s">
        <v>283</v>
      </c>
    </row>
    <row r="90" spans="1:13" ht="12" customHeight="1" x14ac:dyDescent="0.15">
      <c r="A90" s="63">
        <f t="shared" si="1"/>
        <v>89</v>
      </c>
      <c r="B90" s="58" t="s">
        <v>65</v>
      </c>
      <c r="C90" s="58" t="s">
        <v>235</v>
      </c>
      <c r="D90" s="58">
        <v>111193</v>
      </c>
      <c r="E90" s="58" t="s">
        <v>154</v>
      </c>
      <c r="F90" s="58" t="s">
        <v>155</v>
      </c>
      <c r="G90" s="58" t="s">
        <v>156</v>
      </c>
      <c r="H90" s="28" t="s">
        <v>366</v>
      </c>
      <c r="I90" s="59">
        <v>42248</v>
      </c>
      <c r="J90" s="69" t="s">
        <v>270</v>
      </c>
      <c r="K90" s="69" t="s">
        <v>288</v>
      </c>
      <c r="L90" s="69" t="s">
        <v>298</v>
      </c>
      <c r="M90" s="69" t="s">
        <v>283</v>
      </c>
    </row>
    <row r="91" spans="1:13" ht="12" customHeight="1" x14ac:dyDescent="0.15">
      <c r="A91" s="63">
        <f t="shared" si="1"/>
        <v>90</v>
      </c>
      <c r="B91" s="58" t="s">
        <v>77</v>
      </c>
      <c r="C91" s="58" t="s">
        <v>238</v>
      </c>
      <c r="D91" s="58">
        <v>111463</v>
      </c>
      <c r="E91" s="58" t="s">
        <v>154</v>
      </c>
      <c r="F91" s="58" t="s">
        <v>155</v>
      </c>
      <c r="G91" s="58" t="s">
        <v>156</v>
      </c>
      <c r="H91" s="28" t="s">
        <v>366</v>
      </c>
      <c r="I91" s="59">
        <v>42248</v>
      </c>
      <c r="J91" s="69" t="s">
        <v>270</v>
      </c>
      <c r="K91" s="69" t="s">
        <v>288</v>
      </c>
      <c r="L91" s="69" t="s">
        <v>298</v>
      </c>
      <c r="M91" s="69" t="s">
        <v>283</v>
      </c>
    </row>
    <row r="92" spans="1:13" ht="12" customHeight="1" x14ac:dyDescent="0.15">
      <c r="A92" s="63">
        <f t="shared" si="1"/>
        <v>91</v>
      </c>
      <c r="B92" s="58" t="s">
        <v>347</v>
      </c>
      <c r="C92" s="58" t="s">
        <v>169</v>
      </c>
      <c r="D92" s="58">
        <v>111621</v>
      </c>
      <c r="E92" s="58" t="s">
        <v>150</v>
      </c>
      <c r="F92" s="58" t="s">
        <v>155</v>
      </c>
      <c r="G92" s="58" t="s">
        <v>156</v>
      </c>
      <c r="H92" s="28" t="s">
        <v>366</v>
      </c>
      <c r="I92" s="59">
        <v>42536</v>
      </c>
      <c r="J92" s="69" t="s">
        <v>270</v>
      </c>
      <c r="K92" s="69" t="s">
        <v>288</v>
      </c>
      <c r="L92" s="69" t="s">
        <v>298</v>
      </c>
      <c r="M92" s="69" t="s">
        <v>283</v>
      </c>
    </row>
    <row r="93" spans="1:13" ht="12" customHeight="1" x14ac:dyDescent="0.15">
      <c r="A93" s="63">
        <f t="shared" si="1"/>
        <v>92</v>
      </c>
      <c r="B93" s="58" t="s">
        <v>32</v>
      </c>
      <c r="C93" s="58" t="s">
        <v>233</v>
      </c>
      <c r="D93" s="58">
        <v>110563</v>
      </c>
      <c r="E93" s="58" t="s">
        <v>154</v>
      </c>
      <c r="F93" s="58" t="s">
        <v>171</v>
      </c>
      <c r="G93" s="58" t="s">
        <v>156</v>
      </c>
      <c r="H93" s="28" t="s">
        <v>366</v>
      </c>
      <c r="I93" s="59">
        <v>42248</v>
      </c>
      <c r="J93" s="69" t="s">
        <v>270</v>
      </c>
      <c r="K93" s="69" t="s">
        <v>288</v>
      </c>
      <c r="L93" s="69" t="s">
        <v>298</v>
      </c>
      <c r="M93" s="69" t="s">
        <v>283</v>
      </c>
    </row>
    <row r="94" spans="1:13" ht="12" customHeight="1" x14ac:dyDescent="0.15">
      <c r="A94" s="63">
        <f t="shared" si="1"/>
        <v>93</v>
      </c>
      <c r="B94" s="58" t="s">
        <v>35</v>
      </c>
      <c r="C94" s="58" t="s">
        <v>250</v>
      </c>
      <c r="D94" s="58">
        <v>110631</v>
      </c>
      <c r="E94" s="58" t="s">
        <v>154</v>
      </c>
      <c r="F94" s="58" t="s">
        <v>155</v>
      </c>
      <c r="G94" s="58" t="s">
        <v>156</v>
      </c>
      <c r="H94" s="28" t="s">
        <v>366</v>
      </c>
      <c r="I94" s="59">
        <v>42248</v>
      </c>
      <c r="J94" s="69" t="s">
        <v>270</v>
      </c>
      <c r="K94" s="69" t="s">
        <v>288</v>
      </c>
      <c r="L94" s="69" t="s">
        <v>298</v>
      </c>
      <c r="M94" s="69" t="s">
        <v>283</v>
      </c>
    </row>
    <row r="95" spans="1:13" ht="12" customHeight="1" x14ac:dyDescent="0.15">
      <c r="A95" s="63">
        <f t="shared" si="1"/>
        <v>94</v>
      </c>
      <c r="B95" s="58" t="s">
        <v>38</v>
      </c>
      <c r="C95" s="58" t="s">
        <v>189</v>
      </c>
      <c r="D95" s="58">
        <v>110721</v>
      </c>
      <c r="E95" s="58" t="s">
        <v>154</v>
      </c>
      <c r="F95" s="58" t="s">
        <v>171</v>
      </c>
      <c r="G95" s="58" t="s">
        <v>156</v>
      </c>
      <c r="H95" s="28" t="s">
        <v>366</v>
      </c>
      <c r="I95" s="59">
        <v>42248</v>
      </c>
      <c r="J95" s="69" t="s">
        <v>270</v>
      </c>
      <c r="K95" s="69" t="s">
        <v>288</v>
      </c>
      <c r="L95" s="69" t="s">
        <v>298</v>
      </c>
      <c r="M95" s="69" t="s">
        <v>283</v>
      </c>
    </row>
    <row r="96" spans="1:13" ht="12" customHeight="1" x14ac:dyDescent="0.15">
      <c r="A96" s="63">
        <f t="shared" si="1"/>
        <v>95</v>
      </c>
      <c r="B96" s="58" t="s">
        <v>51</v>
      </c>
      <c r="C96" s="58" t="s">
        <v>261</v>
      </c>
      <c r="D96" s="58">
        <v>110945</v>
      </c>
      <c r="E96" s="58" t="s">
        <v>154</v>
      </c>
      <c r="F96" s="58" t="s">
        <v>155</v>
      </c>
      <c r="G96" s="58" t="s">
        <v>156</v>
      </c>
      <c r="H96" s="28" t="s">
        <v>366</v>
      </c>
      <c r="I96" s="59">
        <v>42248</v>
      </c>
      <c r="J96" s="69" t="s">
        <v>270</v>
      </c>
      <c r="K96" s="69" t="s">
        <v>288</v>
      </c>
      <c r="L96" s="69" t="s">
        <v>298</v>
      </c>
      <c r="M96" s="69" t="s">
        <v>283</v>
      </c>
    </row>
    <row r="97" spans="1:13" ht="12" customHeight="1" x14ac:dyDescent="0.15">
      <c r="A97" s="63">
        <f t="shared" si="1"/>
        <v>96</v>
      </c>
      <c r="B97" s="58" t="s">
        <v>72</v>
      </c>
      <c r="C97" s="58" t="s">
        <v>217</v>
      </c>
      <c r="D97" s="58">
        <v>111328</v>
      </c>
      <c r="E97" s="58" t="s">
        <v>154</v>
      </c>
      <c r="F97" s="58" t="s">
        <v>171</v>
      </c>
      <c r="G97" s="58" t="s">
        <v>156</v>
      </c>
      <c r="H97" s="28" t="s">
        <v>366</v>
      </c>
      <c r="I97" s="59">
        <v>42248</v>
      </c>
      <c r="J97" s="69" t="s">
        <v>270</v>
      </c>
      <c r="K97" s="69" t="s">
        <v>288</v>
      </c>
      <c r="L97" s="69" t="s">
        <v>298</v>
      </c>
      <c r="M97" s="69" t="s">
        <v>283</v>
      </c>
    </row>
    <row r="98" spans="1:13" ht="12" customHeight="1" x14ac:dyDescent="0.15">
      <c r="A98" s="63">
        <f t="shared" si="1"/>
        <v>97</v>
      </c>
      <c r="B98" s="58" t="s">
        <v>348</v>
      </c>
      <c r="C98" s="58" t="s">
        <v>358</v>
      </c>
      <c r="D98" s="58">
        <v>111474</v>
      </c>
      <c r="E98" s="58" t="s">
        <v>198</v>
      </c>
      <c r="F98" s="58" t="s">
        <v>198</v>
      </c>
      <c r="G98" s="58" t="s">
        <v>156</v>
      </c>
      <c r="H98" s="28" t="s">
        <v>366</v>
      </c>
      <c r="I98" s="59">
        <v>42305</v>
      </c>
      <c r="J98" s="69" t="s">
        <v>272</v>
      </c>
      <c r="K98" s="69" t="s">
        <v>288</v>
      </c>
      <c r="L98" s="69" t="s">
        <v>298</v>
      </c>
      <c r="M98" s="69" t="s">
        <v>283</v>
      </c>
    </row>
    <row r="99" spans="1:13" ht="12" customHeight="1" x14ac:dyDescent="0.15">
      <c r="A99" s="63">
        <f t="shared" si="1"/>
        <v>98</v>
      </c>
      <c r="B99" s="58" t="s">
        <v>349</v>
      </c>
      <c r="C99" s="58" t="s">
        <v>192</v>
      </c>
      <c r="D99" s="58">
        <v>111687</v>
      </c>
      <c r="E99" s="58" t="s">
        <v>163</v>
      </c>
      <c r="F99" s="58" t="s">
        <v>164</v>
      </c>
      <c r="G99" s="58" t="s">
        <v>156</v>
      </c>
      <c r="H99" s="28" t="s">
        <v>366</v>
      </c>
      <c r="I99" s="59">
        <v>42660</v>
      </c>
      <c r="J99" s="69" t="s">
        <v>270</v>
      </c>
      <c r="K99" s="69" t="s">
        <v>288</v>
      </c>
      <c r="L99" s="69" t="s">
        <v>298</v>
      </c>
      <c r="M99" s="69" t="s">
        <v>283</v>
      </c>
    </row>
    <row r="100" spans="1:13" ht="12" customHeight="1" x14ac:dyDescent="0.15">
      <c r="A100" s="63">
        <f t="shared" si="1"/>
        <v>99</v>
      </c>
      <c r="B100" s="58" t="s">
        <v>350</v>
      </c>
      <c r="C100" s="58" t="s">
        <v>359</v>
      </c>
      <c r="D100" s="58">
        <v>111733</v>
      </c>
      <c r="E100" s="58" t="s">
        <v>196</v>
      </c>
      <c r="F100" s="58"/>
      <c r="G100" s="58" t="s">
        <v>156</v>
      </c>
      <c r="H100" s="28" t="s">
        <v>366</v>
      </c>
      <c r="I100" s="59" t="s">
        <v>367</v>
      </c>
      <c r="J100" s="69" t="s">
        <v>270</v>
      </c>
      <c r="K100" s="69" t="s">
        <v>288</v>
      </c>
      <c r="L100" s="69" t="s">
        <v>298</v>
      </c>
      <c r="M100" s="69" t="s">
        <v>283</v>
      </c>
    </row>
    <row r="101" spans="1:13" ht="12" customHeight="1" x14ac:dyDescent="0.15">
      <c r="A101" s="63">
        <f t="shared" si="1"/>
        <v>100</v>
      </c>
      <c r="B101" s="58" t="s">
        <v>351</v>
      </c>
      <c r="C101" s="58" t="s">
        <v>360</v>
      </c>
      <c r="D101" s="58">
        <v>111744</v>
      </c>
      <c r="E101" s="58" t="s">
        <v>196</v>
      </c>
      <c r="F101" s="58"/>
      <c r="G101" s="58" t="s">
        <v>156</v>
      </c>
      <c r="H101" s="28" t="s">
        <v>366</v>
      </c>
      <c r="I101" s="59" t="s">
        <v>367</v>
      </c>
      <c r="J101" s="69" t="s">
        <v>270</v>
      </c>
      <c r="K101" s="69" t="s">
        <v>288</v>
      </c>
      <c r="L101" s="69" t="s">
        <v>298</v>
      </c>
      <c r="M101" s="69" t="s">
        <v>283</v>
      </c>
    </row>
    <row r="102" spans="1:13" ht="12" customHeight="1" x14ac:dyDescent="0.15">
      <c r="A102" s="63">
        <f t="shared" si="1"/>
        <v>101</v>
      </c>
      <c r="B102" s="58" t="s">
        <v>352</v>
      </c>
      <c r="C102" s="58" t="s">
        <v>361</v>
      </c>
      <c r="D102" s="58">
        <v>111755</v>
      </c>
      <c r="E102" s="58" t="s">
        <v>196</v>
      </c>
      <c r="F102" s="58"/>
      <c r="G102" s="58" t="s">
        <v>156</v>
      </c>
      <c r="H102" s="28" t="s">
        <v>366</v>
      </c>
      <c r="I102" s="59" t="s">
        <v>368</v>
      </c>
      <c r="J102" s="69" t="s">
        <v>270</v>
      </c>
      <c r="K102" s="69" t="s">
        <v>288</v>
      </c>
      <c r="L102" s="69" t="s">
        <v>298</v>
      </c>
      <c r="M102" s="69" t="s">
        <v>283</v>
      </c>
    </row>
    <row r="103" spans="1:13" ht="12" customHeight="1" x14ac:dyDescent="0.15">
      <c r="A103" s="63">
        <f t="shared" si="1"/>
        <v>102</v>
      </c>
      <c r="B103" s="58" t="s">
        <v>353</v>
      </c>
      <c r="C103" s="58" t="s">
        <v>362</v>
      </c>
      <c r="D103" s="58">
        <v>111766</v>
      </c>
      <c r="E103" s="58" t="s">
        <v>184</v>
      </c>
      <c r="F103" s="58" t="s">
        <v>184</v>
      </c>
      <c r="G103" s="58" t="s">
        <v>156</v>
      </c>
      <c r="H103" s="28" t="s">
        <v>366</v>
      </c>
      <c r="I103" s="59" t="s">
        <v>369</v>
      </c>
      <c r="J103" s="69" t="s">
        <v>184</v>
      </c>
      <c r="K103" s="81" t="s">
        <v>287</v>
      </c>
      <c r="L103" s="69" t="s">
        <v>313</v>
      </c>
      <c r="M103" s="81" t="s">
        <v>284</v>
      </c>
    </row>
    <row r="104" spans="1:13" ht="12" customHeight="1" x14ac:dyDescent="0.15">
      <c r="A104" s="63">
        <f t="shared" si="1"/>
        <v>103</v>
      </c>
      <c r="B104" s="58" t="s">
        <v>354</v>
      </c>
      <c r="C104" s="86" t="s">
        <v>363</v>
      </c>
      <c r="D104" s="58">
        <v>111777</v>
      </c>
      <c r="E104" s="86" t="s">
        <v>160</v>
      </c>
      <c r="F104" s="86" t="s">
        <v>160</v>
      </c>
      <c r="G104" s="86" t="s">
        <v>156</v>
      </c>
      <c r="H104" s="87" t="s">
        <v>366</v>
      </c>
      <c r="I104" s="59" t="s">
        <v>370</v>
      </c>
      <c r="J104" s="69" t="s">
        <v>160</v>
      </c>
      <c r="K104" s="81" t="s">
        <v>287</v>
      </c>
      <c r="L104" s="69" t="s">
        <v>313</v>
      </c>
      <c r="M104" s="81" t="s">
        <v>284</v>
      </c>
    </row>
    <row r="105" spans="1:13" ht="12" customHeight="1" x14ac:dyDescent="0.15"/>
    <row r="106" spans="1:13" ht="12" customHeight="1" x14ac:dyDescent="0.15"/>
    <row r="107" spans="1:13" ht="12" customHeight="1" x14ac:dyDescent="0.15"/>
    <row r="108" spans="1:13" ht="12" customHeight="1" x14ac:dyDescent="0.15"/>
    <row r="109" spans="1:13" ht="12" customHeight="1" x14ac:dyDescent="0.15"/>
    <row r="110" spans="1:13" ht="12" customHeight="1" x14ac:dyDescent="0.15"/>
    <row r="111" spans="1:13" ht="12" customHeight="1" x14ac:dyDescent="0.15"/>
    <row r="112" spans="1:13"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sheetData>
  <sheetProtection password="8C8E" sheet="1" objects="1" scenarios="1" selectLockedCells="1" selectUnlockedCells="1"/>
  <phoneticPr fontId="2"/>
  <hyperlinks>
    <hyperlink ref="L40" r:id="rId1" display="\\10.72.144.7\accenture\Common\03 Management Documents\02 Work Plan and Time Management\01 myTimeKeeper\01 Admin\00 DB\DevDB.xls"/>
    <hyperlink ref="L11" r:id="rId2" display="\\10.72.144.7\accenture\Common\03 Management Documents\02 Work Plan and Time Management\01 myTimeKeeper\01 Admin\00 DB\DevDB.xls"/>
    <hyperlink ref="L29" r:id="rId3" display="\\10.72.144.7\accenture\Common\03 Management Documents\02 Work Plan and Time Management\01 myTimeKeeper\01 Admin\00 DB\DevDB.xls"/>
    <hyperlink ref="L104" r:id="rId4" display="\\10.72.144.7\accenture\Common\03 Management Documents\02 Work Plan and Time Management\01 myTimeKeeper\01 Admin\00 DB\DevDB.xls"/>
    <hyperlink ref="L103" r:id="rId5" display="\\10.72.144.7\accenture\Common\03 Management Documents\02 Work Plan and Time Management\01 myTimeKeeper\01 Admin\00 DB\DevDB.xls"/>
    <hyperlink ref="L71" r:id="rId6" display="\\10.72.144.7\accenture\Common\03 Management Documents\02 Work Plan and Time Management\01 myTimeKeeper\01 Admin\00 DB\DevDB.xls"/>
    <hyperlink ref="L72" r:id="rId7" display="\\10.72.144.7\accenture\Common\03 Management Documents\02 Work Plan and Time Management\01 myTimeKeeper\01 Admin\00 DB\DevDB.xls"/>
    <hyperlink ref="L73" r:id="rId8" display="\\10.72.144.7\accenture\Common\03 Management Documents\02 Work Plan and Time Management\01 myTimeKeeper\01 Admin\00 DB\DevDB.xls"/>
  </hyperlinks>
  <pageMargins left="0.7" right="0.7" top="0.75" bottom="0.75" header="0.3" footer="0.3"/>
  <pageSetup paperSize="9" orientation="portrait" r:id="rId9"/>
  <tableParts count="1">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Version</vt:lpstr>
      <vt:lpstr>ReadMe</vt:lpstr>
      <vt:lpstr>EmployeeHub</vt:lpstr>
      <vt:lpstr>Report</vt:lpstr>
      <vt:lpstr>Resource</vt:lpstr>
      <vt:lpstr>Resource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Ryan A. Dedumo</dc:creator>
  <cp:lastModifiedBy>acn015</cp:lastModifiedBy>
  <dcterms:created xsi:type="dcterms:W3CDTF">2016-10-24T10:22:39Z</dcterms:created>
  <dcterms:modified xsi:type="dcterms:W3CDTF">2019-03-06T23:40:06Z</dcterms:modified>
</cp:coreProperties>
</file>